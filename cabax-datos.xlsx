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Pedidos" sheetId="2" state="visible" r:id="rId4"/>
    <sheet name="Clientes" sheetId="3" state="visible" r:id="rId5"/>
    <sheet name="Directorio" sheetId="4" state="visible" r:id="rId6"/>
    <sheet name="Instruc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<sst xmlns="http://schemas.openxmlformats.org/spreadsheetml/2006/main" count="445" uniqueCount="153">
  <si>
    <t xml:space="preserve">Código</t>
  </si>
  <si>
    <t xml:space="preserve">Prenda</t>
  </si>
  <si>
    <t xml:space="preserve">Categoría</t>
  </si>
  <si>
    <t xml:space="preserve">Talla</t>
  </si>
  <si>
    <t xml:space="preserve">Stock inicial</t>
  </si>
  <si>
    <t xml:space="preserve">Precio</t>
  </si>
  <si>
    <t xml:space="preserve">Costo unitario</t>
  </si>
  <si>
    <t xml:space="preserve">Calidad</t>
  </si>
  <si>
    <t xml:space="preserve">Foto</t>
  </si>
  <si>
    <t xml:space="preserve">Entregadas</t>
  </si>
  <si>
    <t xml:space="preserve">Pendientes</t>
  </si>
  <si>
    <t xml:space="preserve">Disponibles</t>
  </si>
  <si>
    <t xml:space="preserve">Alerta</t>
  </si>
  <si>
    <t xml:space="preserve">P-VN</t>
  </si>
  <si>
    <t xml:space="preserve">Vestido negro línea dorada</t>
  </si>
  <si>
    <t xml:space="preserve">Vestidos</t>
  </si>
  <si>
    <t xml:space="preserve">S</t>
  </si>
  <si>
    <t xml:space="preserve">Crepé elástico con forro interior y línea dorada. Lavar a mano.</t>
  </si>
  <si>
    <t xml:space="preserve">M</t>
  </si>
  <si>
    <t xml:space="preserve">L</t>
  </si>
  <si>
    <t xml:space="preserve">P-VT</t>
  </si>
  <si>
    <t xml:space="preserve">Vestido midi terracota</t>
  </si>
  <si>
    <t xml:space="preserve">Viscosa fluida, largo midi, cierre invisible. Lavar en frío.</t>
  </si>
  <si>
    <t xml:space="preserve">P-BS</t>
  </si>
  <si>
    <t xml:space="preserve">Blusa satín champagne</t>
  </si>
  <si>
    <t xml:space="preserve">Blusas</t>
  </si>
  <si>
    <t xml:space="preserve">Satín liviano con cuello en V. Planchar a baja temperatura.</t>
  </si>
  <si>
    <t xml:space="preserve">P-CL</t>
  </si>
  <si>
    <t xml:space="preserve">Camisa lino blanco</t>
  </si>
  <si>
    <t xml:space="preserve">Camisas</t>
  </si>
  <si>
    <t xml:space="preserve">Lino con algodón, corte regular. Se arruga: es parte del estilo.</t>
  </si>
  <si>
    <t xml:space="preserve">P-BN</t>
  </si>
  <si>
    <t xml:space="preserve">Bolso estructurado negro</t>
  </si>
  <si>
    <t xml:space="preserve">Accesorios</t>
  </si>
  <si>
    <t xml:space="preserve">Única</t>
  </si>
  <si>
    <t xml:space="preserve">Material sintético estructurado, forro interior y herraje dorado.</t>
  </si>
  <si>
    <t xml:space="preserve">P-AD</t>
  </si>
  <si>
    <t xml:space="preserve">Aretes dorados par</t>
  </si>
  <si>
    <t xml:space="preserve">Baño dorado, par. Evitar el contacto con agua y perfume.</t>
  </si>
  <si>
    <t xml:space="preserve">P-CI</t>
  </si>
  <si>
    <t xml:space="preserve">Cinturón hebilla dorada</t>
  </si>
  <si>
    <t xml:space="preserve">Correa negra con hebilla dorada. Ajustable.</t>
  </si>
  <si>
    <t xml:space="preserve">ID</t>
  </si>
  <si>
    <t xml:space="preserve">Fecha</t>
  </si>
  <si>
    <t xml:space="preserve">ClienteID</t>
  </si>
  <si>
    <t xml:space="preserve">Canal</t>
  </si>
  <si>
    <t xml:space="preserve">Estado</t>
  </si>
  <si>
    <t xml:space="preserve">Registró</t>
  </si>
  <si>
    <t xml:space="preserve">V001</t>
  </si>
  <si>
    <t xml:space="preserve">C01</t>
  </si>
  <si>
    <t xml:space="preserve">Instagram</t>
  </si>
  <si>
    <t xml:space="preserve">Entregado</t>
  </si>
  <si>
    <t xml:space="preserve">Xairy</t>
  </si>
  <si>
    <t xml:space="preserve">V002</t>
  </si>
  <si>
    <t xml:space="preserve">C02</t>
  </si>
  <si>
    <t xml:space="preserve">WhatsApp</t>
  </si>
  <si>
    <t xml:space="preserve">Angelly</t>
  </si>
  <si>
    <t xml:space="preserve">V003</t>
  </si>
  <si>
    <t xml:space="preserve">C03</t>
  </si>
  <si>
    <t xml:space="preserve">Claudia</t>
  </si>
  <si>
    <t xml:space="preserve">V004</t>
  </si>
  <si>
    <t xml:space="preserve">C04</t>
  </si>
  <si>
    <t xml:space="preserve">V005</t>
  </si>
  <si>
    <t xml:space="preserve">C05</t>
  </si>
  <si>
    <t xml:space="preserve">V006</t>
  </si>
  <si>
    <t xml:space="preserve">C06</t>
  </si>
  <si>
    <t xml:space="preserve">Presencial</t>
  </si>
  <si>
    <t xml:space="preserve">V007</t>
  </si>
  <si>
    <t xml:space="preserve">C07</t>
  </si>
  <si>
    <t xml:space="preserve">Cancelado</t>
  </si>
  <si>
    <t xml:space="preserve">V008</t>
  </si>
  <si>
    <t xml:space="preserve">C08</t>
  </si>
  <si>
    <t xml:space="preserve">V009</t>
  </si>
  <si>
    <t xml:space="preserve">C09</t>
  </si>
  <si>
    <t xml:space="preserve">V010</t>
  </si>
  <si>
    <t xml:space="preserve">C10</t>
  </si>
  <si>
    <t xml:space="preserve">V011</t>
  </si>
  <si>
    <t xml:space="preserve">C11</t>
  </si>
  <si>
    <t xml:space="preserve">V012</t>
  </si>
  <si>
    <t xml:space="preserve">C12</t>
  </si>
  <si>
    <t xml:space="preserve">V013</t>
  </si>
  <si>
    <t xml:space="preserve">C13</t>
  </si>
  <si>
    <t xml:space="preserve">V014</t>
  </si>
  <si>
    <t xml:space="preserve">C14</t>
  </si>
  <si>
    <t xml:space="preserve">V015</t>
  </si>
  <si>
    <t xml:space="preserve">C15</t>
  </si>
  <si>
    <t xml:space="preserve">V016</t>
  </si>
  <si>
    <t xml:space="preserve">C16</t>
  </si>
  <si>
    <t xml:space="preserve">Albert</t>
  </si>
  <si>
    <t xml:space="preserve">V017</t>
  </si>
  <si>
    <t xml:space="preserve">V018</t>
  </si>
  <si>
    <t xml:space="preserve">V019</t>
  </si>
  <si>
    <t xml:space="preserve">V020</t>
  </si>
  <si>
    <t xml:space="preserve">V021</t>
  </si>
  <si>
    <t xml:space="preserve">V022</t>
  </si>
  <si>
    <t xml:space="preserve">V023</t>
  </si>
  <si>
    <t xml:space="preserve">No había talla</t>
  </si>
  <si>
    <t xml:space="preserve">V024</t>
  </si>
  <si>
    <t xml:space="preserve">Edad</t>
  </si>
  <si>
    <t xml:space="preserve">Sexo</t>
  </si>
  <si>
    <t xml:space="preserve">Canal de contacto</t>
  </si>
  <si>
    <t xml:space="preserve">Preguntó precio antes</t>
  </si>
  <si>
    <t xml:space="preserve">Preguntó talla o calidad</t>
  </si>
  <si>
    <t xml:space="preserve">Frecuencia que dice comprar</t>
  </si>
  <si>
    <t xml:space="preserve">Mujer</t>
  </si>
  <si>
    <t xml:space="preserve">Sí</t>
  </si>
  <si>
    <t xml:space="preserve">1 vez al mes</t>
  </si>
  <si>
    <t xml:space="preserve">2 veces al mes</t>
  </si>
  <si>
    <t xml:space="preserve">No</t>
  </si>
  <si>
    <t xml:space="preserve">Cada dos meses</t>
  </si>
  <si>
    <t xml:space="preserve">Hombre</t>
  </si>
  <si>
    <t xml:space="preserve">Casi no compra</t>
  </si>
  <si>
    <t xml:space="preserve">Pedido grupal</t>
  </si>
  <si>
    <t xml:space="preserve">Nombre</t>
  </si>
  <si>
    <t xml:space="preserve">Contacto</t>
  </si>
  <si>
    <t xml:space="preserve">Laura Méndez</t>
  </si>
  <si>
    <t xml:space="preserve">Karol Pinto</t>
  </si>
  <si>
    <t xml:space="preserve">Andrea Luz</t>
  </si>
  <si>
    <t xml:space="preserve">Miguel Ángel R.</t>
  </si>
  <si>
    <t xml:space="preserve">Valentina S.</t>
  </si>
  <si>
    <t xml:space="preserve">Prof. Elena D.</t>
  </si>
  <si>
    <t xml:space="preserve">Juan Diego P.</t>
  </si>
  <si>
    <t xml:space="preserve">Sara Bolívar</t>
  </si>
  <si>
    <t xml:space="preserve">Camila Ortiz</t>
  </si>
  <si>
    <t xml:space="preserve">Diego Ferrer</t>
  </si>
  <si>
    <t xml:space="preserve">Natalia Gil</t>
  </si>
  <si>
    <t xml:space="preserve">Rosa Jiménez</t>
  </si>
  <si>
    <t xml:space="preserve">Luis F. Castro</t>
  </si>
  <si>
    <t xml:space="preserve">Mariana Vélez</t>
  </si>
  <si>
    <t xml:space="preserve">Sofía Rincón</t>
  </si>
  <si>
    <t xml:space="preserve">Coordinación IE</t>
  </si>
  <si>
    <t xml:space="preserve">Cómo funciona esta hoja</t>
  </si>
  <si>
    <t xml:space="preserve">Es la base de datos de CABAX. El catálogo y el tablero del sitio web la leen cada vez que se abren.</t>
  </si>
  <si>
    <t xml:space="preserve">Qué pestañas se publican en la web (Archivo &gt; Compartir &gt; Publicar en la web &gt; elegir la pestaña &gt; CSV)</t>
  </si>
  <si>
    <t xml:space="preserve">• Inventario, Pedidos y Clientes: SÍ se publican. Aquí no deben ir nombres ni teléfonos.</t>
  </si>
  <si>
    <t xml:space="preserve">• Directorio: NO se publica nunca. Es la única pestaña con nombres de clientes (ID → nombre).</t>
  </si>
  <si>
    <t xml:space="preserve">• Instrucciones: NO se publica.</t>
  </si>
  <si>
    <t xml:space="preserve">Cómo se registra una venta</t>
  </si>
  <si>
    <t xml:space="preserve">1. El cliente pide por WhatsApp (desde el catálogo o por chat).</t>
  </si>
  <si>
    <t xml:space="preserve">2. En el tablero, pestaña “Registrar un pedido”, pega el mensaje. El asistente prepara las filas.</t>
  </si>
  <si>
    <t xml:space="preserve">3. Pega la fila en Pedidos (estado Pendiente). Si el cliente es nuevo, pega también Clientes y Directorio.</t>
  </si>
  <si>
    <t xml:space="preserve">4. Cuando se entrega, cambia el estado a Entregado. Si se cancela, Cancelado. Si no había la talla, No había talla.</t>
  </si>
  <si>
    <t xml:space="preserve">5. El inventario se actualiza solo: Disponibles = Stock inicial − Entregadas − Pendientes.</t>
  </si>
  <si>
    <t xml:space="preserve">Reglas para que los números no fallen</t>
  </si>
  <si>
    <t xml:space="preserve">• La Prenda y la Talla del pedido deben escribirse igual que en Inventario. El tablero avisa si no coinciden.</t>
  </si>
  <si>
    <t xml:space="preserve">• Fecha en formato aaaa-mm-dd (2026-09-18). Precio solo con números.</t>
  </si>
  <si>
    <t xml:space="preserve">• Estado: Entregado, Pendiente, Cancelado o No había talla. Solo Entregado cuenta como ingreso.</t>
  </si>
  <si>
    <t xml:space="preserve">• Una fila de pedido por prenda. Un pedido con 2 prendas son 2 filas con distinto ID.</t>
  </si>
  <si>
    <t xml:space="preserve">• No cambies los títulos de la fila 1 ni el nombre de las pestañas.</t>
  </si>
  <si>
    <t xml:space="preserve">• Para agregar una prenda nueva o una talla, agrega una fila en Inventario y copia hacia abajo las fórmulas de las columnas Entregadas a Alerta.</t>
  </si>
  <si>
    <t xml:space="preserve">Datos de ejemplo</t>
  </si>
  <si>
    <t xml:space="preserve">Los pedidos, clientes, stock y textos de calidad son datos de ejemplo del ciclo del 31 de agosto al 20 de septiembre de 2026. Reemplázalos por los reales.</t>
  </si>
  <si>
    <t xml:space="preserve">La columna Foto es opcional: escribe el nombre de un archivo guardado en la carpeta fotos del sitio (por ejemplo fotos/vestido-negro.jpg).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</si>
</sst>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General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4AC52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13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52"/>
      <rgbColor rgb="FFFF6600"/>
      <rgbColor rgb="FF666699"/>
      <rgbColor rgb="FF969696"/>
      <rgbColor rgb="FF003366"/>
      <rgbColor rgb="FF339966"/>
      <rgbColor rgb="FF141311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52"/>
    <col collapsed="false" customWidth="true" hidden="false" outlineLevel="0" max="9" min="9" style="0" width="24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3" t="s">
        <v>16</v>
      </c>
      <c r="E2" s="2" t="n">
        <v>3</v>
      </c>
      <c r="F2" s="4" t="n">
        <v>89000</v>
      </c>
      <c r="G2" s="4" t="n">
        <v>42000</v>
      </c>
      <c r="H2" s="2" t="s">
        <v>17</v>
      </c>
      <c r="I2" s="2"/>
      <c r="J2" s="5" t="n">
        <f aca="false">COUNTIFS(Pedidos!$E:$E,$B2,Pedidos!$F:$F,$D2,Pedidos!$I:$I,"Entregado")</f>
        <v>2</v>
      </c>
      <c r="K2" s="5" t="n">
        <f aca="false">COUNTIFS(Pedidos!$E:$E,$B2,Pedidos!$F:$F,$D2,Pedidos!$I:$I,"Pendiente")</f>
        <v>0</v>
      </c>
      <c r="L2" s="5" t="n">
        <f aca="false">E2-J2-K2</f>
        <v>1</v>
      </c>
      <c r="M2" s="5" t="str">
        <f aca="false">IF(L2&lt;=0,"Reponer",IF(L2&lt;=1,"Bajo","Ok"))</f>
        <v>Bajo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3" t="s">
        <v>18</v>
      </c>
      <c r="E3" s="2" t="n">
        <v>3</v>
      </c>
      <c r="F3" s="4" t="n">
        <v>89000</v>
      </c>
      <c r="G3" s="4" t="n">
        <v>42000</v>
      </c>
      <c r="H3" s="2" t="s">
        <v>17</v>
      </c>
      <c r="I3" s="2"/>
      <c r="J3" s="5" t="n">
        <f aca="false">COUNTIFS(Pedidos!$E:$E,$B3,Pedidos!$F:$F,$D3,Pedidos!$I:$I,"Entregado")</f>
        <v>2</v>
      </c>
      <c r="K3" s="5" t="n">
        <f aca="false">COUNTIFS(Pedidos!$E:$E,$B3,Pedidos!$F:$F,$D3,Pedidos!$I:$I,"Pendiente")</f>
        <v>0</v>
      </c>
      <c r="L3" s="5" t="n">
        <f aca="false">E3-J3-K3</f>
        <v>1</v>
      </c>
      <c r="M3" s="5" t="str">
        <f aca="false">IF(L3&lt;=0,"Reponer",IF(L3&lt;=1,"Bajo","Ok"))</f>
        <v>Bajo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3" t="s">
        <v>19</v>
      </c>
      <c r="E4" s="2" t="n">
        <v>2</v>
      </c>
      <c r="F4" s="4" t="n">
        <v>89000</v>
      </c>
      <c r="G4" s="4" t="n">
        <v>42000</v>
      </c>
      <c r="H4" s="2" t="s">
        <v>17</v>
      </c>
      <c r="I4" s="2"/>
      <c r="J4" s="5" t="n">
        <f aca="false">COUNTIFS(Pedidos!$E:$E,$B4,Pedidos!$F:$F,$D4,Pedidos!$I:$I,"Entregado")</f>
        <v>1</v>
      </c>
      <c r="K4" s="5" t="n">
        <f aca="false">COUNTIFS(Pedidos!$E:$E,$B4,Pedidos!$F:$F,$D4,Pedidos!$I:$I,"Pendiente")</f>
        <v>0</v>
      </c>
      <c r="L4" s="5" t="n">
        <f aca="false">E4-J4-K4</f>
        <v>1</v>
      </c>
      <c r="M4" s="5" t="str">
        <f aca="false">IF(L4&lt;=0,"Reponer",IF(L4&lt;=1,"Bajo","Ok"))</f>
        <v>Bajo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15</v>
      </c>
      <c r="D5" s="3" t="s">
        <v>16</v>
      </c>
      <c r="E5" s="2" t="n">
        <v>2</v>
      </c>
      <c r="F5" s="4" t="n">
        <v>95000</v>
      </c>
      <c r="G5" s="4" t="n">
        <v>45000</v>
      </c>
      <c r="H5" s="2" t="s">
        <v>22</v>
      </c>
      <c r="I5" s="2"/>
      <c r="J5" s="5" t="n">
        <f aca="false">COUNTIFS(Pedidos!$E:$E,$B5,Pedidos!$F:$F,$D5,Pedidos!$I:$I,"Entregado")</f>
        <v>1</v>
      </c>
      <c r="K5" s="5" t="n">
        <f aca="false">COUNTIFS(Pedidos!$E:$E,$B5,Pedidos!$F:$F,$D5,Pedidos!$I:$I,"Pendiente")</f>
        <v>0</v>
      </c>
      <c r="L5" s="5" t="n">
        <f aca="false">E5-J5-K5</f>
        <v>1</v>
      </c>
      <c r="M5" s="5" t="str">
        <f aca="false">IF(L5&lt;=0,"Reponer",IF(L5&lt;=1,"Bajo","Ok"))</f>
        <v>Bajo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15</v>
      </c>
      <c r="D6" s="3" t="s">
        <v>18</v>
      </c>
      <c r="E6" s="2" t="n">
        <v>2</v>
      </c>
      <c r="F6" s="4" t="n">
        <v>95000</v>
      </c>
      <c r="G6" s="4" t="n">
        <v>45000</v>
      </c>
      <c r="H6" s="2" t="s">
        <v>22</v>
      </c>
      <c r="I6" s="2"/>
      <c r="J6" s="5" t="n">
        <f aca="false">COUNTIFS(Pedidos!$E:$E,$B6,Pedidos!$F:$F,$D6,Pedidos!$I:$I,"Entregado")</f>
        <v>2</v>
      </c>
      <c r="K6" s="5" t="n">
        <f aca="false">COUNTIFS(Pedidos!$E:$E,$B6,Pedidos!$F:$F,$D6,Pedidos!$I:$I,"Pendiente")</f>
        <v>0</v>
      </c>
      <c r="L6" s="5" t="n">
        <f aca="false">E6-J6-K6</f>
        <v>0</v>
      </c>
      <c r="M6" s="5" t="str">
        <f aca="false">IF(L6&lt;=0,"Reponer",IF(L6&lt;=1,"Bajo","Ok"))</f>
        <v>Reponer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3" t="s">
        <v>16</v>
      </c>
      <c r="E7" s="2" t="n">
        <v>4</v>
      </c>
      <c r="F7" s="4" t="n">
        <v>45000</v>
      </c>
      <c r="G7" s="4" t="n">
        <v>18000</v>
      </c>
      <c r="H7" s="2" t="s">
        <v>26</v>
      </c>
      <c r="I7" s="2"/>
      <c r="J7" s="5" t="n">
        <f aca="false">COUNTIFS(Pedidos!$E:$E,$B7,Pedidos!$F:$F,$D7,Pedidos!$I:$I,"Entregado")</f>
        <v>3</v>
      </c>
      <c r="K7" s="5" t="n">
        <f aca="false">COUNTIFS(Pedidos!$E:$E,$B7,Pedidos!$F:$F,$D7,Pedidos!$I:$I,"Pendiente")</f>
        <v>0</v>
      </c>
      <c r="L7" s="5" t="n">
        <f aca="false">E7-J7-K7</f>
        <v>1</v>
      </c>
      <c r="M7" s="5" t="str">
        <f aca="false">IF(L7&lt;=0,"Reponer",IF(L7&lt;=1,"Bajo","Ok"))</f>
        <v>Bajo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3" t="s">
        <v>18</v>
      </c>
      <c r="E8" s="2" t="n">
        <v>3</v>
      </c>
      <c r="F8" s="4" t="n">
        <v>45000</v>
      </c>
      <c r="G8" s="4" t="n">
        <v>18000</v>
      </c>
      <c r="H8" s="2" t="s">
        <v>26</v>
      </c>
      <c r="I8" s="2"/>
      <c r="J8" s="5" t="n">
        <f aca="false">COUNTIFS(Pedidos!$E:$E,$B8,Pedidos!$F:$F,$D8,Pedidos!$I:$I,"Entregado")</f>
        <v>2</v>
      </c>
      <c r="K8" s="5" t="n">
        <f aca="false">COUNTIFS(Pedidos!$E:$E,$B8,Pedidos!$F:$F,$D8,Pedidos!$I:$I,"Pendiente")</f>
        <v>0</v>
      </c>
      <c r="L8" s="5" t="n">
        <f aca="false">E8-J8-K8</f>
        <v>1</v>
      </c>
      <c r="M8" s="5" t="str">
        <f aca="false">IF(L8&lt;=0,"Reponer",IF(L8&lt;=1,"Bajo","Ok"))</f>
        <v>Bajo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25</v>
      </c>
      <c r="D9" s="3" t="s">
        <v>19</v>
      </c>
      <c r="E9" s="2" t="n">
        <v>0</v>
      </c>
      <c r="F9" s="4" t="n">
        <v>45000</v>
      </c>
      <c r="G9" s="4" t="n">
        <v>18000</v>
      </c>
      <c r="H9" s="2" t="s">
        <v>26</v>
      </c>
      <c r="I9" s="2"/>
      <c r="J9" s="5" t="n">
        <f aca="false">COUNTIFS(Pedidos!$E:$E,$B9,Pedidos!$F:$F,$D9,Pedidos!$I:$I,"Entregado")</f>
        <v>0</v>
      </c>
      <c r="K9" s="5" t="n">
        <f aca="false">COUNTIFS(Pedidos!$E:$E,$B9,Pedidos!$F:$F,$D9,Pedidos!$I:$I,"Pendiente")</f>
        <v>0</v>
      </c>
      <c r="L9" s="5" t="n">
        <f aca="false">E9-J9-K9</f>
        <v>0</v>
      </c>
      <c r="M9" s="5" t="str">
        <f aca="false">IF(L9&lt;=0,"Reponer",IF(L9&lt;=1,"Bajo","Ok"))</f>
        <v>Reponer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s">
        <v>29</v>
      </c>
      <c r="D10" s="3" t="s">
        <v>18</v>
      </c>
      <c r="E10" s="2" t="n">
        <v>3</v>
      </c>
      <c r="F10" s="4" t="n">
        <v>52000</v>
      </c>
      <c r="G10" s="4" t="n">
        <v>21000</v>
      </c>
      <c r="H10" s="2" t="s">
        <v>30</v>
      </c>
      <c r="I10" s="2"/>
      <c r="J10" s="5" t="n">
        <f aca="false">COUNTIFS(Pedidos!$E:$E,$B10,Pedidos!$F:$F,$D10,Pedidos!$I:$I,"Entregado")</f>
        <v>1</v>
      </c>
      <c r="K10" s="5" t="n">
        <f aca="false">COUNTIFS(Pedidos!$E:$E,$B10,Pedidos!$F:$F,$D10,Pedidos!$I:$I,"Pendiente")</f>
        <v>0</v>
      </c>
      <c r="L10" s="5" t="n">
        <f aca="false">E10-J10-K10</f>
        <v>2</v>
      </c>
      <c r="M10" s="5" t="str">
        <f aca="false">IF(L10&lt;=0,"Reponer",IF(L10&lt;=1,"Bajo","Ok"))</f>
        <v>Ok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29</v>
      </c>
      <c r="D11" s="3" t="s">
        <v>19</v>
      </c>
      <c r="E11" s="2" t="n">
        <v>2</v>
      </c>
      <c r="F11" s="4" t="n">
        <v>52000</v>
      </c>
      <c r="G11" s="4" t="n">
        <v>21000</v>
      </c>
      <c r="H11" s="2" t="s">
        <v>30</v>
      </c>
      <c r="I11" s="2"/>
      <c r="J11" s="5" t="n">
        <f aca="false">COUNTIFS(Pedidos!$E:$E,$B11,Pedidos!$F:$F,$D11,Pedidos!$I:$I,"Entregado")</f>
        <v>2</v>
      </c>
      <c r="K11" s="5" t="n">
        <f aca="false">COUNTIFS(Pedidos!$E:$E,$B11,Pedidos!$F:$F,$D11,Pedidos!$I:$I,"Pendiente")</f>
        <v>0</v>
      </c>
      <c r="L11" s="5" t="n">
        <f aca="false">E11-J11-K11</f>
        <v>0</v>
      </c>
      <c r="M11" s="5" t="str">
        <f aca="false">IF(L11&lt;=0,"Reponer",IF(L11&lt;=1,"Bajo","Ok"))</f>
        <v>Reponer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2" t="s">
        <v>33</v>
      </c>
      <c r="D12" s="3" t="s">
        <v>34</v>
      </c>
      <c r="E12" s="2" t="n">
        <v>3</v>
      </c>
      <c r="F12" s="4" t="n">
        <v>72000</v>
      </c>
      <c r="G12" s="4" t="n">
        <v>30000</v>
      </c>
      <c r="H12" s="2" t="s">
        <v>35</v>
      </c>
      <c r="I12" s="2"/>
      <c r="J12" s="5" t="n">
        <f aca="false">COUNTIFS(Pedidos!$E:$E,$B12,Pedidos!$F:$F,$D12,Pedidos!$I:$I,"Entregado")</f>
        <v>2</v>
      </c>
      <c r="K12" s="5" t="n">
        <f aca="false">COUNTIFS(Pedidos!$E:$E,$B12,Pedidos!$F:$F,$D12,Pedidos!$I:$I,"Pendiente")</f>
        <v>0</v>
      </c>
      <c r="L12" s="5" t="n">
        <f aca="false">E12-J12-K12</f>
        <v>1</v>
      </c>
      <c r="M12" s="5" t="str">
        <f aca="false">IF(L12&lt;=0,"Reponer",IF(L12&lt;=1,"Bajo","Ok"))</f>
        <v>Bajo</v>
      </c>
    </row>
    <row r="13" customFormat="false" ht="15" hidden="false" customHeight="false" outlineLevel="0" collapsed="false">
      <c r="A13" s="2" t="s">
        <v>36</v>
      </c>
      <c r="B13" s="2" t="s">
        <v>37</v>
      </c>
      <c r="C13" s="2" t="s">
        <v>33</v>
      </c>
      <c r="D13" s="3" t="s">
        <v>34</v>
      </c>
      <c r="E13" s="2" t="n">
        <v>6</v>
      </c>
      <c r="F13" s="4" t="n">
        <v>28000</v>
      </c>
      <c r="G13" s="4" t="n">
        <v>8000</v>
      </c>
      <c r="H13" s="2" t="s">
        <v>38</v>
      </c>
      <c r="I13" s="2"/>
      <c r="J13" s="5" t="n">
        <f aca="false">COUNTIFS(Pedidos!$E:$E,$B13,Pedidos!$F:$F,$D13,Pedidos!$I:$I,"Entregado")</f>
        <v>2</v>
      </c>
      <c r="K13" s="5" t="n">
        <f aca="false">COUNTIFS(Pedidos!$E:$E,$B13,Pedidos!$F:$F,$D13,Pedidos!$I:$I,"Pendiente")</f>
        <v>0</v>
      </c>
      <c r="L13" s="5" t="n">
        <f aca="false">E13-J13-K13</f>
        <v>4</v>
      </c>
      <c r="M13" s="5" t="str">
        <f aca="false">IF(L13&lt;=0,"Reponer",IF(L13&lt;=1,"Bajo","Ok"))</f>
        <v>Ok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33</v>
      </c>
      <c r="D14" s="3" t="s">
        <v>16</v>
      </c>
      <c r="E14" s="2" t="n">
        <v>3</v>
      </c>
      <c r="F14" s="4" t="n">
        <v>38000</v>
      </c>
      <c r="G14" s="4" t="n">
        <v>12000</v>
      </c>
      <c r="H14" s="2" t="s">
        <v>41</v>
      </c>
      <c r="I14" s="2"/>
      <c r="J14" s="5" t="n">
        <f aca="false">COUNTIFS(Pedidos!$E:$E,$B14,Pedidos!$F:$F,$D14,Pedidos!$I:$I,"Entregado")</f>
        <v>1</v>
      </c>
      <c r="K14" s="5" t="n">
        <f aca="false">COUNTIFS(Pedidos!$E:$E,$B14,Pedidos!$F:$F,$D14,Pedidos!$I:$I,"Pendiente")</f>
        <v>0</v>
      </c>
      <c r="L14" s="5" t="n">
        <f aca="false">E14-J14-K14</f>
        <v>2</v>
      </c>
      <c r="M14" s="5" t="str">
        <f aca="false">IF(L14&lt;=0,"Reponer",IF(L14&lt;=1,"Bajo","Ok"))</f>
        <v>Ok</v>
      </c>
    </row>
    <row r="15" customFormat="false" ht="15" hidden="false" customHeight="false" outlineLevel="0" collapsed="false">
      <c r="A15" s="2" t="s">
        <v>39</v>
      </c>
      <c r="B15" s="2" t="s">
        <v>40</v>
      </c>
      <c r="C15" s="2" t="s">
        <v>33</v>
      </c>
      <c r="D15" s="3" t="s">
        <v>18</v>
      </c>
      <c r="E15" s="2" t="n">
        <v>3</v>
      </c>
      <c r="F15" s="4" t="n">
        <v>38000</v>
      </c>
      <c r="G15" s="4" t="n">
        <v>12000</v>
      </c>
      <c r="H15" s="2" t="s">
        <v>41</v>
      </c>
      <c r="I15" s="2"/>
      <c r="J15" s="5" t="n">
        <f aca="false">COUNTIFS(Pedidos!$E:$E,$B15,Pedidos!$F:$F,$D15,Pedidos!$I:$I,"Entregado")</f>
        <v>1</v>
      </c>
      <c r="K15" s="5" t="n">
        <f aca="false">COUNTIFS(Pedidos!$E:$E,$B15,Pedidos!$F:$F,$D15,Pedidos!$I:$I,"Pendiente")</f>
        <v>0</v>
      </c>
      <c r="L15" s="5" t="n">
        <f aca="false">E15-J15-K15</f>
        <v>2</v>
      </c>
      <c r="M15" s="5" t="str">
        <f aca="false">IF(L15&lt;=0,"Reponer",IF(L15&lt;=1,"Bajo","Ok"))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42</v>
      </c>
      <c r="B1" s="1" t="s">
        <v>43</v>
      </c>
      <c r="C1" s="1" t="s">
        <v>44</v>
      </c>
      <c r="D1" s="1" t="s">
        <v>2</v>
      </c>
      <c r="E1" s="1" t="s">
        <v>1</v>
      </c>
      <c r="F1" s="1" t="s">
        <v>3</v>
      </c>
      <c r="G1" s="1" t="s">
        <v>5</v>
      </c>
      <c r="H1" s="1" t="s">
        <v>45</v>
      </c>
      <c r="I1" s="1" t="s">
        <v>46</v>
      </c>
      <c r="J1" s="1" t="s">
        <v>47</v>
      </c>
    </row>
    <row r="2" customFormat="false" ht="15" hidden="false" customHeight="false" outlineLevel="0" collapsed="false">
      <c r="A2" s="2" t="s">
        <v>48</v>
      </c>
      <c r="B2" s="6" t="n">
        <v>46266</v>
      </c>
      <c r="C2" s="2" t="s">
        <v>49</v>
      </c>
      <c r="D2" s="2" t="s">
        <v>15</v>
      </c>
      <c r="E2" s="2" t="s">
        <v>14</v>
      </c>
      <c r="F2" s="2" t="s">
        <v>18</v>
      </c>
      <c r="G2" s="4" t="n">
        <v>89000</v>
      </c>
      <c r="H2" s="2" t="s">
        <v>50</v>
      </c>
      <c r="I2" s="2" t="s">
        <v>51</v>
      </c>
      <c r="J2" s="2" t="s">
        <v>52</v>
      </c>
    </row>
    <row r="3" customFormat="false" ht="15" hidden="false" customHeight="false" outlineLevel="0" collapsed="false">
      <c r="A3" s="2" t="s">
        <v>53</v>
      </c>
      <c r="B3" s="6" t="n">
        <v>46266</v>
      </c>
      <c r="C3" s="2" t="s">
        <v>54</v>
      </c>
      <c r="D3" s="2" t="s">
        <v>25</v>
      </c>
      <c r="E3" s="2" t="s">
        <v>24</v>
      </c>
      <c r="F3" s="2" t="s">
        <v>16</v>
      </c>
      <c r="G3" s="4" t="n">
        <v>45000</v>
      </c>
      <c r="H3" s="2" t="s">
        <v>55</v>
      </c>
      <c r="I3" s="2" t="s">
        <v>51</v>
      </c>
      <c r="J3" s="2" t="s">
        <v>56</v>
      </c>
    </row>
    <row r="4" customFormat="false" ht="15" hidden="false" customHeight="false" outlineLevel="0" collapsed="false">
      <c r="A4" s="2" t="s">
        <v>57</v>
      </c>
      <c r="B4" s="6" t="n">
        <v>46267</v>
      </c>
      <c r="C4" s="2" t="s">
        <v>58</v>
      </c>
      <c r="D4" s="2" t="s">
        <v>33</v>
      </c>
      <c r="E4" s="2" t="s">
        <v>32</v>
      </c>
      <c r="F4" s="2" t="s">
        <v>34</v>
      </c>
      <c r="G4" s="4" t="n">
        <v>72000</v>
      </c>
      <c r="H4" s="2" t="s">
        <v>55</v>
      </c>
      <c r="I4" s="2" t="s">
        <v>51</v>
      </c>
      <c r="J4" s="2" t="s">
        <v>59</v>
      </c>
    </row>
    <row r="5" customFormat="false" ht="15" hidden="false" customHeight="false" outlineLevel="0" collapsed="false">
      <c r="A5" s="2" t="s">
        <v>60</v>
      </c>
      <c r="B5" s="6" t="n">
        <v>46267</v>
      </c>
      <c r="C5" s="2" t="s">
        <v>61</v>
      </c>
      <c r="D5" s="2" t="s">
        <v>29</v>
      </c>
      <c r="E5" s="2" t="s">
        <v>28</v>
      </c>
      <c r="F5" s="2" t="s">
        <v>19</v>
      </c>
      <c r="G5" s="4" t="n">
        <v>52000</v>
      </c>
      <c r="H5" s="2" t="s">
        <v>50</v>
      </c>
      <c r="I5" s="2" t="s">
        <v>51</v>
      </c>
      <c r="J5" s="2" t="s">
        <v>52</v>
      </c>
    </row>
    <row r="6" customFormat="false" ht="15" hidden="false" customHeight="false" outlineLevel="0" collapsed="false">
      <c r="A6" s="2" t="s">
        <v>62</v>
      </c>
      <c r="B6" s="6" t="n">
        <v>46268</v>
      </c>
      <c r="C6" s="2" t="s">
        <v>63</v>
      </c>
      <c r="D6" s="2" t="s">
        <v>15</v>
      </c>
      <c r="E6" s="2" t="s">
        <v>14</v>
      </c>
      <c r="F6" s="2" t="s">
        <v>16</v>
      </c>
      <c r="G6" s="4" t="n">
        <v>89000</v>
      </c>
      <c r="H6" s="2" t="s">
        <v>55</v>
      </c>
      <c r="I6" s="2" t="s">
        <v>51</v>
      </c>
      <c r="J6" s="2" t="s">
        <v>56</v>
      </c>
    </row>
    <row r="7" customFormat="false" ht="15" hidden="false" customHeight="false" outlineLevel="0" collapsed="false">
      <c r="A7" s="2" t="s">
        <v>64</v>
      </c>
      <c r="B7" s="6" t="n">
        <v>46268</v>
      </c>
      <c r="C7" s="2" t="s">
        <v>65</v>
      </c>
      <c r="D7" s="2" t="s">
        <v>25</v>
      </c>
      <c r="E7" s="2" t="s">
        <v>24</v>
      </c>
      <c r="F7" s="2" t="s">
        <v>18</v>
      </c>
      <c r="G7" s="4" t="n">
        <v>45000</v>
      </c>
      <c r="H7" s="2" t="s">
        <v>66</v>
      </c>
      <c r="I7" s="2" t="s">
        <v>51</v>
      </c>
      <c r="J7" s="2" t="s">
        <v>52</v>
      </c>
    </row>
    <row r="8" customFormat="false" ht="15" hidden="false" customHeight="false" outlineLevel="0" collapsed="false">
      <c r="A8" s="2" t="s">
        <v>67</v>
      </c>
      <c r="B8" s="6" t="n">
        <v>46269</v>
      </c>
      <c r="C8" s="2" t="s">
        <v>68</v>
      </c>
      <c r="D8" s="2" t="s">
        <v>29</v>
      </c>
      <c r="E8" s="2" t="s">
        <v>28</v>
      </c>
      <c r="F8" s="2" t="s">
        <v>18</v>
      </c>
      <c r="G8" s="4" t="n">
        <v>52000</v>
      </c>
      <c r="H8" s="2" t="s">
        <v>50</v>
      </c>
      <c r="I8" s="2" t="s">
        <v>69</v>
      </c>
      <c r="J8" s="2" t="s">
        <v>52</v>
      </c>
    </row>
    <row r="9" customFormat="false" ht="15" hidden="false" customHeight="false" outlineLevel="0" collapsed="false">
      <c r="A9" s="2" t="s">
        <v>70</v>
      </c>
      <c r="B9" s="6" t="n">
        <v>46269</v>
      </c>
      <c r="C9" s="2" t="s">
        <v>71</v>
      </c>
      <c r="D9" s="2" t="s">
        <v>15</v>
      </c>
      <c r="E9" s="2" t="s">
        <v>21</v>
      </c>
      <c r="F9" s="2" t="s">
        <v>18</v>
      </c>
      <c r="G9" s="4" t="n">
        <v>95000</v>
      </c>
      <c r="H9" s="2" t="s">
        <v>55</v>
      </c>
      <c r="I9" s="2" t="s">
        <v>51</v>
      </c>
      <c r="J9" s="2" t="s">
        <v>56</v>
      </c>
    </row>
    <row r="10" customFormat="false" ht="15" hidden="false" customHeight="false" outlineLevel="0" collapsed="false">
      <c r="A10" s="2" t="s">
        <v>72</v>
      </c>
      <c r="B10" s="6" t="n">
        <v>46270</v>
      </c>
      <c r="C10" s="2" t="s">
        <v>73</v>
      </c>
      <c r="D10" s="2" t="s">
        <v>33</v>
      </c>
      <c r="E10" s="2" t="s">
        <v>37</v>
      </c>
      <c r="F10" s="2" t="s">
        <v>34</v>
      </c>
      <c r="G10" s="4" t="n">
        <v>28000</v>
      </c>
      <c r="H10" s="2" t="s">
        <v>55</v>
      </c>
      <c r="I10" s="2" t="s">
        <v>51</v>
      </c>
      <c r="J10" s="2" t="s">
        <v>59</v>
      </c>
    </row>
    <row r="11" customFormat="false" ht="15" hidden="false" customHeight="false" outlineLevel="0" collapsed="false">
      <c r="A11" s="2" t="s">
        <v>74</v>
      </c>
      <c r="B11" s="6" t="n">
        <v>46270</v>
      </c>
      <c r="C11" s="2" t="s">
        <v>75</v>
      </c>
      <c r="D11" s="2" t="s">
        <v>29</v>
      </c>
      <c r="E11" s="2" t="s">
        <v>28</v>
      </c>
      <c r="F11" s="2" t="s">
        <v>19</v>
      </c>
      <c r="G11" s="4" t="n">
        <v>52000</v>
      </c>
      <c r="H11" s="2" t="s">
        <v>50</v>
      </c>
      <c r="I11" s="2" t="s">
        <v>51</v>
      </c>
      <c r="J11" s="2" t="s">
        <v>52</v>
      </c>
    </row>
    <row r="12" customFormat="false" ht="15" hidden="false" customHeight="false" outlineLevel="0" collapsed="false">
      <c r="A12" s="2" t="s">
        <v>76</v>
      </c>
      <c r="B12" s="6" t="n">
        <v>46273</v>
      </c>
      <c r="C12" s="2" t="s">
        <v>77</v>
      </c>
      <c r="D12" s="2" t="s">
        <v>25</v>
      </c>
      <c r="E12" s="2" t="s">
        <v>24</v>
      </c>
      <c r="F12" s="2" t="s">
        <v>16</v>
      </c>
      <c r="G12" s="4" t="n">
        <v>45000</v>
      </c>
      <c r="H12" s="2" t="s">
        <v>55</v>
      </c>
      <c r="I12" s="2" t="s">
        <v>51</v>
      </c>
      <c r="J12" s="2" t="s">
        <v>56</v>
      </c>
    </row>
    <row r="13" customFormat="false" ht="15" hidden="false" customHeight="false" outlineLevel="0" collapsed="false">
      <c r="A13" s="2" t="s">
        <v>78</v>
      </c>
      <c r="B13" s="6" t="n">
        <v>46273</v>
      </c>
      <c r="C13" s="2" t="s">
        <v>79</v>
      </c>
      <c r="D13" s="2" t="s">
        <v>15</v>
      </c>
      <c r="E13" s="2" t="s">
        <v>14</v>
      </c>
      <c r="F13" s="2" t="s">
        <v>19</v>
      </c>
      <c r="G13" s="4" t="n">
        <v>89000</v>
      </c>
      <c r="H13" s="2" t="s">
        <v>66</v>
      </c>
      <c r="I13" s="2" t="s">
        <v>51</v>
      </c>
      <c r="J13" s="2" t="s">
        <v>52</v>
      </c>
    </row>
    <row r="14" customFormat="false" ht="15" hidden="false" customHeight="false" outlineLevel="0" collapsed="false">
      <c r="A14" s="2" t="s">
        <v>80</v>
      </c>
      <c r="B14" s="6" t="n">
        <v>46274</v>
      </c>
      <c r="C14" s="2" t="s">
        <v>81</v>
      </c>
      <c r="D14" s="2" t="s">
        <v>33</v>
      </c>
      <c r="E14" s="2" t="s">
        <v>40</v>
      </c>
      <c r="F14" s="2" t="s">
        <v>18</v>
      </c>
      <c r="G14" s="4" t="n">
        <v>38000</v>
      </c>
      <c r="H14" s="2" t="s">
        <v>50</v>
      </c>
      <c r="I14" s="2" t="s">
        <v>51</v>
      </c>
      <c r="J14" s="2" t="s">
        <v>59</v>
      </c>
    </row>
    <row r="15" customFormat="false" ht="15" hidden="false" customHeight="false" outlineLevel="0" collapsed="false">
      <c r="A15" s="2" t="s">
        <v>82</v>
      </c>
      <c r="B15" s="6" t="n">
        <v>46274</v>
      </c>
      <c r="C15" s="2" t="s">
        <v>83</v>
      </c>
      <c r="D15" s="2" t="s">
        <v>15</v>
      </c>
      <c r="E15" s="2" t="s">
        <v>21</v>
      </c>
      <c r="F15" s="2" t="s">
        <v>16</v>
      </c>
      <c r="G15" s="4" t="n">
        <v>95000</v>
      </c>
      <c r="H15" s="2" t="s">
        <v>55</v>
      </c>
      <c r="I15" s="2" t="s">
        <v>51</v>
      </c>
      <c r="J15" s="2" t="s">
        <v>56</v>
      </c>
    </row>
    <row r="16" customFormat="false" ht="15" hidden="false" customHeight="false" outlineLevel="0" collapsed="false">
      <c r="A16" s="2" t="s">
        <v>84</v>
      </c>
      <c r="B16" s="6" t="n">
        <v>46275</v>
      </c>
      <c r="C16" s="2" t="s">
        <v>85</v>
      </c>
      <c r="D16" s="2" t="s">
        <v>25</v>
      </c>
      <c r="E16" s="2" t="s">
        <v>24</v>
      </c>
      <c r="F16" s="2" t="s">
        <v>16</v>
      </c>
      <c r="G16" s="4" t="n">
        <v>45000</v>
      </c>
      <c r="H16" s="2" t="s">
        <v>50</v>
      </c>
      <c r="I16" s="2" t="s">
        <v>51</v>
      </c>
      <c r="J16" s="2" t="s">
        <v>52</v>
      </c>
    </row>
    <row r="17" customFormat="false" ht="15" hidden="false" customHeight="false" outlineLevel="0" collapsed="false">
      <c r="A17" s="2" t="s">
        <v>86</v>
      </c>
      <c r="B17" s="6" t="n">
        <v>46276</v>
      </c>
      <c r="C17" s="2" t="s">
        <v>87</v>
      </c>
      <c r="D17" s="2" t="s">
        <v>15</v>
      </c>
      <c r="E17" s="2" t="s">
        <v>14</v>
      </c>
      <c r="F17" s="2" t="s">
        <v>18</v>
      </c>
      <c r="G17" s="4" t="n">
        <v>89000</v>
      </c>
      <c r="H17" s="2" t="s">
        <v>66</v>
      </c>
      <c r="I17" s="2" t="s">
        <v>51</v>
      </c>
      <c r="J17" s="2" t="s">
        <v>88</v>
      </c>
    </row>
    <row r="18" customFormat="false" ht="15" hidden="false" customHeight="false" outlineLevel="0" collapsed="false">
      <c r="A18" s="2" t="s">
        <v>89</v>
      </c>
      <c r="B18" s="6" t="n">
        <v>46276</v>
      </c>
      <c r="C18" s="2" t="s">
        <v>54</v>
      </c>
      <c r="D18" s="2" t="s">
        <v>33</v>
      </c>
      <c r="E18" s="2" t="s">
        <v>37</v>
      </c>
      <c r="F18" s="2" t="s">
        <v>34</v>
      </c>
      <c r="G18" s="4" t="n">
        <v>28000</v>
      </c>
      <c r="H18" s="2" t="s">
        <v>55</v>
      </c>
      <c r="I18" s="2" t="s">
        <v>51</v>
      </c>
      <c r="J18" s="2" t="s">
        <v>59</v>
      </c>
    </row>
    <row r="19" customFormat="false" ht="15" hidden="false" customHeight="false" outlineLevel="0" collapsed="false">
      <c r="A19" s="2" t="s">
        <v>90</v>
      </c>
      <c r="B19" s="6" t="n">
        <v>46277</v>
      </c>
      <c r="C19" s="2" t="s">
        <v>49</v>
      </c>
      <c r="D19" s="2" t="s">
        <v>25</v>
      </c>
      <c r="E19" s="2" t="s">
        <v>24</v>
      </c>
      <c r="F19" s="2" t="s">
        <v>18</v>
      </c>
      <c r="G19" s="4" t="n">
        <v>45000</v>
      </c>
      <c r="H19" s="2" t="s">
        <v>50</v>
      </c>
      <c r="I19" s="2" t="s">
        <v>51</v>
      </c>
      <c r="J19" s="2" t="s">
        <v>56</v>
      </c>
    </row>
    <row r="20" customFormat="false" ht="15" hidden="false" customHeight="false" outlineLevel="0" collapsed="false">
      <c r="A20" s="2" t="s">
        <v>91</v>
      </c>
      <c r="B20" s="6" t="n">
        <v>46280</v>
      </c>
      <c r="C20" s="2" t="s">
        <v>73</v>
      </c>
      <c r="D20" s="2" t="s">
        <v>15</v>
      </c>
      <c r="E20" s="2" t="s">
        <v>21</v>
      </c>
      <c r="F20" s="2" t="s">
        <v>18</v>
      </c>
      <c r="G20" s="4" t="n">
        <v>95000</v>
      </c>
      <c r="H20" s="2" t="s">
        <v>55</v>
      </c>
      <c r="I20" s="2" t="s">
        <v>51</v>
      </c>
      <c r="J20" s="2" t="s">
        <v>52</v>
      </c>
    </row>
    <row r="21" customFormat="false" ht="15" hidden="false" customHeight="false" outlineLevel="0" collapsed="false">
      <c r="A21" s="2" t="s">
        <v>92</v>
      </c>
      <c r="B21" s="6" t="n">
        <v>46281</v>
      </c>
      <c r="C21" s="2" t="s">
        <v>71</v>
      </c>
      <c r="D21" s="2" t="s">
        <v>33</v>
      </c>
      <c r="E21" s="2" t="s">
        <v>32</v>
      </c>
      <c r="F21" s="2" t="s">
        <v>34</v>
      </c>
      <c r="G21" s="4" t="n">
        <v>72000</v>
      </c>
      <c r="H21" s="2" t="s">
        <v>55</v>
      </c>
      <c r="I21" s="2" t="s">
        <v>51</v>
      </c>
      <c r="J21" s="2" t="s">
        <v>59</v>
      </c>
    </row>
    <row r="22" customFormat="false" ht="15" hidden="false" customHeight="false" outlineLevel="0" collapsed="false">
      <c r="A22" s="2" t="s">
        <v>93</v>
      </c>
      <c r="B22" s="6" t="n">
        <v>46282</v>
      </c>
      <c r="C22" s="2" t="s">
        <v>77</v>
      </c>
      <c r="D22" s="2" t="s">
        <v>15</v>
      </c>
      <c r="E22" s="2" t="s">
        <v>14</v>
      </c>
      <c r="F22" s="2" t="s">
        <v>16</v>
      </c>
      <c r="G22" s="4" t="n">
        <v>89000</v>
      </c>
      <c r="H22" s="2" t="s">
        <v>55</v>
      </c>
      <c r="I22" s="2" t="s">
        <v>51</v>
      </c>
      <c r="J22" s="2" t="s">
        <v>56</v>
      </c>
    </row>
    <row r="23" customFormat="false" ht="15" hidden="false" customHeight="false" outlineLevel="0" collapsed="false">
      <c r="A23" s="2" t="s">
        <v>94</v>
      </c>
      <c r="B23" s="6" t="n">
        <v>46283</v>
      </c>
      <c r="C23" s="2" t="s">
        <v>61</v>
      </c>
      <c r="D23" s="2" t="s">
        <v>29</v>
      </c>
      <c r="E23" s="2" t="s">
        <v>28</v>
      </c>
      <c r="F23" s="2" t="s">
        <v>18</v>
      </c>
      <c r="G23" s="4" t="n">
        <v>52000</v>
      </c>
      <c r="H23" s="2" t="s">
        <v>50</v>
      </c>
      <c r="I23" s="2" t="s">
        <v>51</v>
      </c>
      <c r="J23" s="2" t="s">
        <v>52</v>
      </c>
    </row>
    <row r="24" customFormat="false" ht="15" hidden="false" customHeight="false" outlineLevel="0" collapsed="false">
      <c r="A24" s="2" t="s">
        <v>95</v>
      </c>
      <c r="B24" s="6" t="n">
        <v>46283</v>
      </c>
      <c r="C24" s="2" t="s">
        <v>58</v>
      </c>
      <c r="D24" s="2" t="s">
        <v>25</v>
      </c>
      <c r="E24" s="2" t="s">
        <v>24</v>
      </c>
      <c r="F24" s="2" t="s">
        <v>19</v>
      </c>
      <c r="G24" s="4" t="n">
        <v>45000</v>
      </c>
      <c r="H24" s="2" t="s">
        <v>55</v>
      </c>
      <c r="I24" s="2" t="s">
        <v>96</v>
      </c>
      <c r="J24" s="2" t="s">
        <v>56</v>
      </c>
    </row>
    <row r="25" customFormat="false" ht="15" hidden="false" customHeight="false" outlineLevel="0" collapsed="false">
      <c r="A25" s="2" t="s">
        <v>97</v>
      </c>
      <c r="B25" s="6" t="n">
        <v>46284</v>
      </c>
      <c r="C25" s="2" t="s">
        <v>63</v>
      </c>
      <c r="D25" s="2" t="s">
        <v>33</v>
      </c>
      <c r="E25" s="2" t="s">
        <v>40</v>
      </c>
      <c r="F25" s="2" t="s">
        <v>16</v>
      </c>
      <c r="G25" s="4" t="n">
        <v>38000</v>
      </c>
      <c r="H25" s="2" t="s">
        <v>55</v>
      </c>
      <c r="I25" s="2" t="s">
        <v>51</v>
      </c>
      <c r="J25" s="2" t="s">
        <v>59</v>
      </c>
    </row>
    <row r="26" customFormat="false" ht="15" hidden="false" customHeight="false" outlineLevel="0" collapsed="false">
      <c r="B26" s="7"/>
      <c r="G26" s="8"/>
    </row>
    <row r="27" customFormat="false" ht="15" hidden="false" customHeight="false" outlineLevel="0" collapsed="false">
      <c r="B27" s="7"/>
      <c r="G27" s="8"/>
    </row>
    <row r="28" customFormat="false" ht="15" hidden="false" customHeight="false" outlineLevel="0" collapsed="false">
      <c r="B28" s="7"/>
      <c r="G28" s="8"/>
    </row>
    <row r="29" customFormat="false" ht="15" hidden="false" customHeight="false" outlineLevel="0" collapsed="false">
      <c r="B29" s="7"/>
      <c r="G29" s="8"/>
    </row>
    <row r="30" customFormat="false" ht="15" hidden="false" customHeight="false" outlineLevel="0" collapsed="false">
      <c r="B30" s="7"/>
      <c r="G30" s="8"/>
    </row>
    <row r="31" customFormat="false" ht="15" hidden="false" customHeight="false" outlineLevel="0" collapsed="false">
      <c r="B31" s="7"/>
      <c r="G31" s="8"/>
    </row>
    <row r="32" customFormat="false" ht="15" hidden="false" customHeight="false" outlineLevel="0" collapsed="false">
      <c r="B32" s="7"/>
      <c r="G32" s="8"/>
    </row>
    <row r="33" customFormat="false" ht="15" hidden="false" customHeight="false" outlineLevel="0" collapsed="false">
      <c r="B33" s="7"/>
      <c r="G33" s="8"/>
    </row>
    <row r="34" customFormat="false" ht="15" hidden="false" customHeight="false" outlineLevel="0" collapsed="false">
      <c r="B34" s="7"/>
      <c r="G34" s="8"/>
    </row>
    <row r="35" customFormat="false" ht="15" hidden="false" customHeight="false" outlineLevel="0" collapsed="false">
      <c r="B35" s="7"/>
      <c r="G35" s="8"/>
    </row>
    <row r="36" customFormat="false" ht="15" hidden="false" customHeight="false" outlineLevel="0" collapsed="false">
      <c r="B36" s="7"/>
      <c r="G36" s="8"/>
    </row>
    <row r="37" customFormat="false" ht="15" hidden="false" customHeight="false" outlineLevel="0" collapsed="false">
      <c r="B37" s="7"/>
      <c r="G37" s="8"/>
    </row>
    <row r="38" customFormat="false" ht="15" hidden="false" customHeight="false" outlineLevel="0" collapsed="false">
      <c r="B38" s="7"/>
      <c r="G38" s="8"/>
    </row>
    <row r="39" customFormat="false" ht="15" hidden="false" customHeight="false" outlineLevel="0" collapsed="false">
      <c r="B39" s="7"/>
      <c r="G39" s="8"/>
    </row>
    <row r="40" customFormat="false" ht="15" hidden="false" customHeight="false" outlineLevel="0" collapsed="false">
      <c r="B40" s="7"/>
      <c r="G40" s="8"/>
    </row>
    <row r="41" customFormat="false" ht="15" hidden="false" customHeight="false" outlineLevel="0" collapsed="false">
      <c r="B41" s="7"/>
      <c r="G41" s="8"/>
    </row>
    <row r="42" customFormat="false" ht="15" hidden="false" customHeight="false" outlineLevel="0" collapsed="false">
      <c r="B42" s="7"/>
      <c r="G42" s="8"/>
    </row>
    <row r="43" customFormat="false" ht="15" hidden="false" customHeight="false" outlineLevel="0" collapsed="false">
      <c r="B43" s="7"/>
      <c r="G43" s="8"/>
    </row>
    <row r="44" customFormat="false" ht="15" hidden="false" customHeight="false" outlineLevel="0" collapsed="false">
      <c r="B44" s="7"/>
      <c r="G44" s="8"/>
    </row>
    <row r="45" customFormat="false" ht="15" hidden="false" customHeight="false" outlineLevel="0" collapsed="false">
      <c r="B45" s="7"/>
      <c r="G45" s="8"/>
    </row>
    <row r="46" customFormat="false" ht="15" hidden="false" customHeight="false" outlineLevel="0" collapsed="false">
      <c r="B46" s="7"/>
      <c r="G46" s="8"/>
    </row>
    <row r="47" customFormat="false" ht="15" hidden="false" customHeight="false" outlineLevel="0" collapsed="false">
      <c r="B47" s="7"/>
      <c r="G47" s="8"/>
    </row>
    <row r="48" customFormat="false" ht="15" hidden="false" customHeight="false" outlineLevel="0" collapsed="false">
      <c r="B48" s="7"/>
      <c r="G48" s="8"/>
    </row>
    <row r="49" customFormat="false" ht="15" hidden="false" customHeight="false" outlineLevel="0" collapsed="false">
      <c r="B49" s="7"/>
      <c r="G49" s="8"/>
    </row>
    <row r="50" customFormat="false" ht="15" hidden="false" customHeight="false" outlineLevel="0" collapsed="false">
      <c r="B50" s="7"/>
      <c r="G50" s="8"/>
    </row>
    <row r="51" customFormat="false" ht="15" hidden="false" customHeight="false" outlineLevel="0" collapsed="false">
      <c r="B51" s="7"/>
      <c r="G51" s="8"/>
    </row>
    <row r="52" customFormat="false" ht="15" hidden="false" customHeight="false" outlineLevel="0" collapsed="false">
      <c r="B52" s="7"/>
      <c r="G52" s="8"/>
    </row>
    <row r="53" customFormat="false" ht="15" hidden="false" customHeight="false" outlineLevel="0" collapsed="false">
      <c r="B53" s="7"/>
      <c r="G53" s="8"/>
    </row>
    <row r="54" customFormat="false" ht="15" hidden="false" customHeight="false" outlineLevel="0" collapsed="false">
      <c r="B54" s="7"/>
      <c r="G54" s="8"/>
    </row>
    <row r="55" customFormat="false" ht="15" hidden="false" customHeight="false" outlineLevel="0" collapsed="false">
      <c r="B55" s="7"/>
      <c r="G55" s="8"/>
    </row>
    <row r="56" customFormat="false" ht="15" hidden="false" customHeight="false" outlineLevel="0" collapsed="false">
      <c r="B56" s="7"/>
      <c r="G56" s="8"/>
    </row>
    <row r="57" customFormat="false" ht="15" hidden="false" customHeight="false" outlineLevel="0" collapsed="false">
      <c r="B57" s="7"/>
      <c r="G57" s="8"/>
    </row>
    <row r="58" customFormat="false" ht="15" hidden="false" customHeight="false" outlineLevel="0" collapsed="false">
      <c r="B58" s="7"/>
      <c r="G58" s="8"/>
    </row>
    <row r="59" customFormat="false" ht="15" hidden="false" customHeight="false" outlineLevel="0" collapsed="false">
      <c r="B59" s="7"/>
      <c r="G59" s="8"/>
    </row>
    <row r="60" customFormat="false" ht="15" hidden="false" customHeight="false" outlineLevel="0" collapsed="false">
      <c r="B60" s="7"/>
      <c r="G60" s="8"/>
    </row>
    <row r="61" customFormat="false" ht="15" hidden="false" customHeight="false" outlineLevel="0" collapsed="false">
      <c r="B61" s="7"/>
      <c r="G61" s="8"/>
    </row>
    <row r="62" customFormat="false" ht="15" hidden="false" customHeight="false" outlineLevel="0" collapsed="false">
      <c r="B62" s="7"/>
      <c r="G62" s="8"/>
    </row>
    <row r="63" customFormat="false" ht="15" hidden="false" customHeight="false" outlineLevel="0" collapsed="false">
      <c r="B63" s="7"/>
      <c r="G63" s="8"/>
    </row>
    <row r="64" customFormat="false" ht="15" hidden="false" customHeight="false" outlineLevel="0" collapsed="false">
      <c r="B64" s="7"/>
      <c r="G64" s="8"/>
    </row>
    <row r="65" customFormat="false" ht="15" hidden="false" customHeight="false" outlineLevel="0" collapsed="false">
      <c r="B65" s="7"/>
      <c r="G65" s="8"/>
    </row>
    <row r="66" customFormat="false" ht="15" hidden="false" customHeight="false" outlineLevel="0" collapsed="false">
      <c r="B66" s="7"/>
      <c r="G66" s="8"/>
    </row>
    <row r="67" customFormat="false" ht="15" hidden="false" customHeight="false" outlineLevel="0" collapsed="false">
      <c r="B67" s="7"/>
      <c r="G67" s="8"/>
    </row>
    <row r="68" customFormat="false" ht="15" hidden="false" customHeight="false" outlineLevel="0" collapsed="false">
      <c r="B68" s="7"/>
      <c r="G68" s="8"/>
    </row>
    <row r="69" customFormat="false" ht="15" hidden="false" customHeight="false" outlineLevel="0" collapsed="false">
      <c r="B69" s="7"/>
      <c r="G69" s="8"/>
    </row>
    <row r="70" customFormat="false" ht="15" hidden="false" customHeight="false" outlineLevel="0" collapsed="false">
      <c r="B70" s="7"/>
      <c r="G70" s="8"/>
    </row>
    <row r="71" customFormat="false" ht="15" hidden="false" customHeight="false" outlineLevel="0" collapsed="false">
      <c r="B71" s="7"/>
      <c r="G71" s="8"/>
    </row>
    <row r="72" customFormat="false" ht="15" hidden="false" customHeight="false" outlineLevel="0" collapsed="false">
      <c r="B72" s="7"/>
      <c r="G72" s="8"/>
    </row>
    <row r="73" customFormat="false" ht="15" hidden="false" customHeight="false" outlineLevel="0" collapsed="false">
      <c r="B73" s="7"/>
      <c r="G73" s="8"/>
    </row>
    <row r="74" customFormat="false" ht="15" hidden="false" customHeight="false" outlineLevel="0" collapsed="false">
      <c r="B74" s="7"/>
      <c r="G74" s="8"/>
    </row>
    <row r="75" customFormat="false" ht="15" hidden="false" customHeight="false" outlineLevel="0" collapsed="false">
      <c r="B75" s="7"/>
      <c r="G75" s="8"/>
    </row>
    <row r="76" customFormat="false" ht="15" hidden="false" customHeight="false" outlineLevel="0" collapsed="false">
      <c r="B76" s="7"/>
      <c r="G76" s="8"/>
    </row>
    <row r="77" customFormat="false" ht="15" hidden="false" customHeight="false" outlineLevel="0" collapsed="false">
      <c r="B77" s="7"/>
      <c r="G77" s="8"/>
    </row>
    <row r="78" customFormat="false" ht="15" hidden="false" customHeight="false" outlineLevel="0" collapsed="false">
      <c r="B78" s="7"/>
      <c r="G78" s="8"/>
    </row>
    <row r="79" customFormat="false" ht="15" hidden="false" customHeight="false" outlineLevel="0" collapsed="false">
      <c r="B79" s="7"/>
      <c r="G79" s="8"/>
    </row>
    <row r="80" customFormat="false" ht="15" hidden="false" customHeight="false" outlineLevel="0" collapsed="false">
      <c r="B80" s="7"/>
      <c r="G80" s="8"/>
    </row>
    <row r="81" customFormat="false" ht="15" hidden="false" customHeight="false" outlineLevel="0" collapsed="false">
      <c r="B81" s="7"/>
      <c r="G81" s="8"/>
    </row>
    <row r="82" customFormat="false" ht="15" hidden="false" customHeight="false" outlineLevel="0" collapsed="false">
      <c r="B82" s="7"/>
      <c r="G82" s="8"/>
    </row>
    <row r="83" customFormat="false" ht="15" hidden="false" customHeight="false" outlineLevel="0" collapsed="false">
      <c r="B83" s="7"/>
      <c r="G83" s="8"/>
    </row>
    <row r="84" customFormat="false" ht="15" hidden="false" customHeight="false" outlineLevel="0" collapsed="false">
      <c r="B84" s="7"/>
      <c r="G84" s="8"/>
    </row>
    <row r="85" customFormat="false" ht="15" hidden="false" customHeight="false" outlineLevel="0" collapsed="false">
      <c r="B85" s="7"/>
      <c r="G85" s="8"/>
    </row>
    <row r="86" customFormat="false" ht="15" hidden="false" customHeight="false" outlineLevel="0" collapsed="false">
      <c r="B86" s="7"/>
      <c r="G86" s="8"/>
    </row>
    <row r="87" customFormat="false" ht="15" hidden="false" customHeight="false" outlineLevel="0" collapsed="false">
      <c r="B87" s="7"/>
      <c r="G87" s="8"/>
    </row>
    <row r="88" customFormat="false" ht="15" hidden="false" customHeight="false" outlineLevel="0" collapsed="false">
      <c r="B88" s="7"/>
      <c r="G88" s="8"/>
    </row>
    <row r="89" customFormat="false" ht="15" hidden="false" customHeight="false" outlineLevel="0" collapsed="false">
      <c r="B89" s="7"/>
      <c r="G89" s="8"/>
    </row>
    <row r="90" customFormat="false" ht="15" hidden="false" customHeight="false" outlineLevel="0" collapsed="false">
      <c r="B90" s="7"/>
      <c r="G90" s="8"/>
    </row>
    <row r="91" customFormat="false" ht="15" hidden="false" customHeight="false" outlineLevel="0" collapsed="false">
      <c r="B91" s="7"/>
      <c r="G91" s="8"/>
    </row>
    <row r="92" customFormat="false" ht="15" hidden="false" customHeight="false" outlineLevel="0" collapsed="false">
      <c r="B92" s="7"/>
      <c r="G92" s="8"/>
    </row>
    <row r="93" customFormat="false" ht="15" hidden="false" customHeight="false" outlineLevel="0" collapsed="false">
      <c r="B93" s="7"/>
      <c r="G93" s="8"/>
    </row>
    <row r="94" customFormat="false" ht="15" hidden="false" customHeight="false" outlineLevel="0" collapsed="false">
      <c r="B94" s="7"/>
      <c r="G94" s="8"/>
    </row>
    <row r="95" customFormat="false" ht="15" hidden="false" customHeight="false" outlineLevel="0" collapsed="false">
      <c r="B95" s="7"/>
      <c r="G95" s="8"/>
    </row>
    <row r="96" customFormat="false" ht="15" hidden="false" customHeight="false" outlineLevel="0" collapsed="false">
      <c r="B96" s="7"/>
      <c r="G96" s="8"/>
    </row>
    <row r="97" customFormat="false" ht="15" hidden="false" customHeight="false" outlineLevel="0" collapsed="false">
      <c r="B97" s="7"/>
      <c r="G97" s="8"/>
    </row>
    <row r="98" customFormat="false" ht="15" hidden="false" customHeight="false" outlineLevel="0" collapsed="false">
      <c r="B98" s="7"/>
      <c r="G98" s="8"/>
    </row>
    <row r="99" customFormat="false" ht="15" hidden="false" customHeight="false" outlineLevel="0" collapsed="false">
      <c r="B99" s="7"/>
      <c r="G99" s="8"/>
    </row>
    <row r="100" customFormat="false" ht="15" hidden="false" customHeight="false" outlineLevel="0" collapsed="false">
      <c r="B100" s="7"/>
      <c r="G100" s="8"/>
    </row>
    <row r="101" customFormat="false" ht="15" hidden="false" customHeight="false" outlineLevel="0" collapsed="false">
      <c r="B101" s="7"/>
      <c r="G101" s="8"/>
    </row>
    <row r="102" customFormat="false" ht="15" hidden="false" customHeight="false" outlineLevel="0" collapsed="false">
      <c r="B102" s="7"/>
      <c r="G102" s="8"/>
    </row>
    <row r="103" customFormat="false" ht="15" hidden="false" customHeight="false" outlineLevel="0" collapsed="false">
      <c r="B103" s="7"/>
      <c r="G103" s="8"/>
    </row>
    <row r="104" customFormat="false" ht="15" hidden="false" customHeight="false" outlineLevel="0" collapsed="false">
      <c r="B104" s="7"/>
      <c r="G104" s="8"/>
    </row>
    <row r="105" customFormat="false" ht="15" hidden="false" customHeight="false" outlineLevel="0" collapsed="false">
      <c r="B105" s="7"/>
      <c r="G105" s="8"/>
    </row>
    <row r="106" customFormat="false" ht="15" hidden="false" customHeight="false" outlineLevel="0" collapsed="false">
      <c r="B106" s="7"/>
      <c r="G106" s="8"/>
    </row>
    <row r="107" customFormat="false" ht="15" hidden="false" customHeight="false" outlineLevel="0" collapsed="false">
      <c r="B107" s="7"/>
      <c r="G107" s="8"/>
    </row>
    <row r="108" customFormat="false" ht="15" hidden="false" customHeight="false" outlineLevel="0" collapsed="false">
      <c r="B108" s="7"/>
      <c r="G108" s="8"/>
    </row>
    <row r="109" customFormat="false" ht="15" hidden="false" customHeight="false" outlineLevel="0" collapsed="false">
      <c r="B109" s="7"/>
      <c r="G109" s="8"/>
    </row>
    <row r="110" customFormat="false" ht="15" hidden="false" customHeight="false" outlineLevel="0" collapsed="false">
      <c r="B110" s="7"/>
      <c r="G110" s="8"/>
    </row>
    <row r="111" customFormat="false" ht="15" hidden="false" customHeight="false" outlineLevel="0" collapsed="false">
      <c r="B111" s="7"/>
      <c r="G111" s="8"/>
    </row>
    <row r="112" customFormat="false" ht="15" hidden="false" customHeight="false" outlineLevel="0" collapsed="false">
      <c r="B112" s="7"/>
      <c r="G112" s="8"/>
    </row>
    <row r="113" customFormat="false" ht="15" hidden="false" customHeight="false" outlineLevel="0" collapsed="false">
      <c r="B113" s="7"/>
      <c r="G113" s="8"/>
    </row>
    <row r="114" customFormat="false" ht="15" hidden="false" customHeight="false" outlineLevel="0" collapsed="false">
      <c r="B114" s="7"/>
      <c r="G114" s="8"/>
    </row>
    <row r="115" customFormat="false" ht="15" hidden="false" customHeight="false" outlineLevel="0" collapsed="false">
      <c r="B115" s="7"/>
      <c r="G115" s="8"/>
    </row>
    <row r="116" customFormat="false" ht="15" hidden="false" customHeight="false" outlineLevel="0" collapsed="false">
      <c r="B116" s="7"/>
      <c r="G116" s="8"/>
    </row>
    <row r="117" customFormat="false" ht="15" hidden="false" customHeight="false" outlineLevel="0" collapsed="false">
      <c r="B117" s="7"/>
      <c r="G117" s="8"/>
    </row>
    <row r="118" customFormat="false" ht="15" hidden="false" customHeight="false" outlineLevel="0" collapsed="false">
      <c r="B118" s="7"/>
      <c r="G118" s="8"/>
    </row>
    <row r="119" customFormat="false" ht="15" hidden="false" customHeight="false" outlineLevel="0" collapsed="false">
      <c r="B119" s="7"/>
      <c r="G119" s="8"/>
    </row>
    <row r="120" customFormat="false" ht="15" hidden="false" customHeight="false" outlineLevel="0" collapsed="false">
      <c r="B120" s="7"/>
      <c r="G120" s="8"/>
    </row>
    <row r="121" customFormat="false" ht="15" hidden="false" customHeight="false" outlineLevel="0" collapsed="false">
      <c r="B121" s="7"/>
      <c r="G121" s="8"/>
    </row>
    <row r="122" customFormat="false" ht="15" hidden="false" customHeight="false" outlineLevel="0" collapsed="false">
      <c r="B122" s="7"/>
      <c r="G122" s="8"/>
    </row>
    <row r="123" customFormat="false" ht="15" hidden="false" customHeight="false" outlineLevel="0" collapsed="false">
      <c r="B123" s="7"/>
      <c r="G123" s="8"/>
    </row>
    <row r="124" customFormat="false" ht="15" hidden="false" customHeight="false" outlineLevel="0" collapsed="false">
      <c r="B124" s="7"/>
      <c r="G124" s="8"/>
    </row>
    <row r="125" customFormat="false" ht="15" hidden="false" customHeight="false" outlineLevel="0" collapsed="false">
      <c r="B125" s="7"/>
      <c r="G125" s="8"/>
    </row>
    <row r="126" customFormat="false" ht="15" hidden="false" customHeight="false" outlineLevel="0" collapsed="false">
      <c r="B126" s="7"/>
      <c r="G126" s="8"/>
    </row>
    <row r="127" customFormat="false" ht="15" hidden="false" customHeight="false" outlineLevel="0" collapsed="false">
      <c r="B127" s="7"/>
      <c r="G127" s="8"/>
    </row>
    <row r="128" customFormat="false" ht="15" hidden="false" customHeight="false" outlineLevel="0" collapsed="false">
      <c r="B128" s="7"/>
      <c r="G128" s="8"/>
    </row>
    <row r="129" customFormat="false" ht="15" hidden="false" customHeight="false" outlineLevel="0" collapsed="false">
      <c r="B129" s="7"/>
      <c r="G129" s="8"/>
    </row>
    <row r="130" customFormat="false" ht="15" hidden="false" customHeight="false" outlineLevel="0" collapsed="false">
      <c r="B130" s="7"/>
      <c r="G130" s="8"/>
    </row>
    <row r="131" customFormat="false" ht="15" hidden="false" customHeight="false" outlineLevel="0" collapsed="false">
      <c r="B131" s="7"/>
      <c r="G131" s="8"/>
    </row>
    <row r="132" customFormat="false" ht="15" hidden="false" customHeight="false" outlineLevel="0" collapsed="false">
      <c r="B132" s="7"/>
      <c r="G132" s="8"/>
    </row>
    <row r="133" customFormat="false" ht="15" hidden="false" customHeight="false" outlineLevel="0" collapsed="false">
      <c r="B133" s="7"/>
      <c r="G133" s="8"/>
    </row>
    <row r="134" customFormat="false" ht="15" hidden="false" customHeight="false" outlineLevel="0" collapsed="false">
      <c r="B134" s="7"/>
      <c r="G134" s="8"/>
    </row>
    <row r="135" customFormat="false" ht="15" hidden="false" customHeight="false" outlineLevel="0" collapsed="false">
      <c r="B135" s="7"/>
      <c r="G135" s="8"/>
    </row>
    <row r="136" customFormat="false" ht="15" hidden="false" customHeight="false" outlineLevel="0" collapsed="false">
      <c r="B136" s="7"/>
      <c r="G136" s="8"/>
    </row>
    <row r="137" customFormat="false" ht="15" hidden="false" customHeight="false" outlineLevel="0" collapsed="false">
      <c r="B137" s="7"/>
      <c r="G137" s="8"/>
    </row>
    <row r="138" customFormat="false" ht="15" hidden="false" customHeight="false" outlineLevel="0" collapsed="false">
      <c r="B138" s="7"/>
      <c r="G138" s="8"/>
    </row>
    <row r="139" customFormat="false" ht="15" hidden="false" customHeight="false" outlineLevel="0" collapsed="false">
      <c r="B139" s="7"/>
      <c r="G139" s="8"/>
    </row>
    <row r="140" customFormat="false" ht="15" hidden="false" customHeight="false" outlineLevel="0" collapsed="false">
      <c r="B140" s="7"/>
      <c r="G140" s="8"/>
    </row>
    <row r="141" customFormat="false" ht="15" hidden="false" customHeight="false" outlineLevel="0" collapsed="false">
      <c r="B141" s="7"/>
      <c r="G141" s="8"/>
    </row>
    <row r="142" customFormat="false" ht="15" hidden="false" customHeight="false" outlineLevel="0" collapsed="false">
      <c r="B142" s="7"/>
      <c r="G142" s="8"/>
    </row>
    <row r="143" customFormat="false" ht="15" hidden="false" customHeight="false" outlineLevel="0" collapsed="false">
      <c r="B143" s="7"/>
      <c r="G143" s="8"/>
    </row>
    <row r="144" customFormat="false" ht="15" hidden="false" customHeight="false" outlineLevel="0" collapsed="false">
      <c r="B144" s="7"/>
      <c r="G144" s="8"/>
    </row>
    <row r="145" customFormat="false" ht="15" hidden="false" customHeight="false" outlineLevel="0" collapsed="false">
      <c r="B145" s="7"/>
      <c r="G145" s="8"/>
    </row>
    <row r="146" customFormat="false" ht="15" hidden="false" customHeight="false" outlineLevel="0" collapsed="false">
      <c r="B146" s="7"/>
      <c r="G146" s="8"/>
    </row>
    <row r="147" customFormat="false" ht="15" hidden="false" customHeight="false" outlineLevel="0" collapsed="false">
      <c r="B147" s="7"/>
      <c r="G147" s="8"/>
    </row>
    <row r="148" customFormat="false" ht="15" hidden="false" customHeight="false" outlineLevel="0" collapsed="false">
      <c r="B148" s="7"/>
      <c r="G148" s="8"/>
    </row>
    <row r="149" customFormat="false" ht="15" hidden="false" customHeight="false" outlineLevel="0" collapsed="false">
      <c r="B149" s="7"/>
      <c r="G149" s="8"/>
    </row>
    <row r="150" customFormat="false" ht="15" hidden="false" customHeight="false" outlineLevel="0" collapsed="false">
      <c r="B150" s="7"/>
      <c r="G150" s="8"/>
    </row>
    <row r="151" customFormat="false" ht="15" hidden="false" customHeight="false" outlineLevel="0" collapsed="false">
      <c r="B151" s="7"/>
      <c r="G151" s="8"/>
    </row>
    <row r="152" customFormat="false" ht="15" hidden="false" customHeight="false" outlineLevel="0" collapsed="false">
      <c r="B152" s="7"/>
      <c r="G152" s="8"/>
    </row>
    <row r="153" customFormat="false" ht="15" hidden="false" customHeight="false" outlineLevel="0" collapsed="false">
      <c r="B153" s="7"/>
      <c r="G153" s="8"/>
    </row>
    <row r="154" customFormat="false" ht="15" hidden="false" customHeight="false" outlineLevel="0" collapsed="false">
      <c r="B154" s="7"/>
      <c r="G154" s="8"/>
    </row>
    <row r="155" customFormat="false" ht="15" hidden="false" customHeight="false" outlineLevel="0" collapsed="false">
      <c r="B155" s="7"/>
      <c r="G155" s="8"/>
    </row>
    <row r="156" customFormat="false" ht="15" hidden="false" customHeight="false" outlineLevel="0" collapsed="false">
      <c r="B156" s="7"/>
      <c r="G156" s="8"/>
    </row>
    <row r="157" customFormat="false" ht="15" hidden="false" customHeight="false" outlineLevel="0" collapsed="false">
      <c r="B157" s="7"/>
      <c r="G157" s="8"/>
    </row>
    <row r="158" customFormat="false" ht="15" hidden="false" customHeight="false" outlineLevel="0" collapsed="false">
      <c r="B158" s="7"/>
      <c r="G158" s="8"/>
    </row>
    <row r="159" customFormat="false" ht="15" hidden="false" customHeight="false" outlineLevel="0" collapsed="false">
      <c r="B159" s="7"/>
      <c r="G159" s="8"/>
    </row>
    <row r="160" customFormat="false" ht="15" hidden="false" customHeight="false" outlineLevel="0" collapsed="false">
      <c r="B160" s="7"/>
      <c r="G160" s="8"/>
    </row>
    <row r="161" customFormat="false" ht="15" hidden="false" customHeight="false" outlineLevel="0" collapsed="false">
      <c r="B161" s="7"/>
      <c r="G161" s="8"/>
    </row>
    <row r="162" customFormat="false" ht="15" hidden="false" customHeight="false" outlineLevel="0" collapsed="false">
      <c r="B162" s="7"/>
      <c r="G162" s="8"/>
    </row>
    <row r="163" customFormat="false" ht="15" hidden="false" customHeight="false" outlineLevel="0" collapsed="false">
      <c r="B163" s="7"/>
      <c r="G163" s="8"/>
    </row>
    <row r="164" customFormat="false" ht="15" hidden="false" customHeight="false" outlineLevel="0" collapsed="false">
      <c r="B164" s="7"/>
      <c r="G164" s="8"/>
    </row>
    <row r="165" customFormat="false" ht="15" hidden="false" customHeight="false" outlineLevel="0" collapsed="false">
      <c r="B165" s="7"/>
      <c r="G165" s="8"/>
    </row>
    <row r="166" customFormat="false" ht="15" hidden="false" customHeight="false" outlineLevel="0" collapsed="false">
      <c r="B166" s="7"/>
      <c r="G166" s="8"/>
    </row>
    <row r="167" customFormat="false" ht="15" hidden="false" customHeight="false" outlineLevel="0" collapsed="false">
      <c r="B167" s="7"/>
      <c r="G167" s="8"/>
    </row>
    <row r="168" customFormat="false" ht="15" hidden="false" customHeight="false" outlineLevel="0" collapsed="false">
      <c r="B168" s="7"/>
      <c r="G168" s="8"/>
    </row>
    <row r="169" customFormat="false" ht="15" hidden="false" customHeight="false" outlineLevel="0" collapsed="false">
      <c r="B169" s="7"/>
      <c r="G169" s="8"/>
    </row>
    <row r="170" customFormat="false" ht="15" hidden="false" customHeight="false" outlineLevel="0" collapsed="false">
      <c r="B170" s="7"/>
      <c r="G170" s="8"/>
    </row>
    <row r="171" customFormat="false" ht="15" hidden="false" customHeight="false" outlineLevel="0" collapsed="false">
      <c r="B171" s="7"/>
      <c r="G171" s="8"/>
    </row>
    <row r="172" customFormat="false" ht="15" hidden="false" customHeight="false" outlineLevel="0" collapsed="false">
      <c r="B172" s="7"/>
      <c r="G172" s="8"/>
    </row>
    <row r="173" customFormat="false" ht="15" hidden="false" customHeight="false" outlineLevel="0" collapsed="false">
      <c r="B173" s="7"/>
      <c r="G173" s="8"/>
    </row>
    <row r="174" customFormat="false" ht="15" hidden="false" customHeight="false" outlineLevel="0" collapsed="false">
      <c r="B174" s="7"/>
      <c r="G174" s="8"/>
    </row>
    <row r="175" customFormat="false" ht="15" hidden="false" customHeight="false" outlineLevel="0" collapsed="false">
      <c r="B175" s="7"/>
      <c r="G175" s="8"/>
    </row>
    <row r="176" customFormat="false" ht="15" hidden="false" customHeight="false" outlineLevel="0" collapsed="false">
      <c r="B176" s="7"/>
      <c r="G176" s="8"/>
    </row>
    <row r="177" customFormat="false" ht="15" hidden="false" customHeight="false" outlineLevel="0" collapsed="false">
      <c r="B177" s="7"/>
      <c r="G177" s="8"/>
    </row>
    <row r="178" customFormat="false" ht="15" hidden="false" customHeight="false" outlineLevel="0" collapsed="false">
      <c r="B178" s="7"/>
      <c r="G178" s="8"/>
    </row>
    <row r="179" customFormat="false" ht="15" hidden="false" customHeight="false" outlineLevel="0" collapsed="false">
      <c r="B179" s="7"/>
      <c r="G179" s="8"/>
    </row>
    <row r="180" customFormat="false" ht="15" hidden="false" customHeight="false" outlineLevel="0" collapsed="false">
      <c r="B180" s="7"/>
      <c r="G180" s="8"/>
    </row>
    <row r="181" customFormat="false" ht="15" hidden="false" customHeight="false" outlineLevel="0" collapsed="false">
      <c r="B181" s="7"/>
      <c r="G181" s="8"/>
    </row>
    <row r="182" customFormat="false" ht="15" hidden="false" customHeight="false" outlineLevel="0" collapsed="false">
      <c r="B182" s="7"/>
      <c r="G182" s="8"/>
    </row>
    <row r="183" customFormat="false" ht="15" hidden="false" customHeight="false" outlineLevel="0" collapsed="false">
      <c r="B183" s="7"/>
      <c r="G183" s="8"/>
    </row>
    <row r="184" customFormat="false" ht="15" hidden="false" customHeight="false" outlineLevel="0" collapsed="false">
      <c r="B184" s="7"/>
      <c r="G184" s="8"/>
    </row>
    <row r="185" customFormat="false" ht="15" hidden="false" customHeight="false" outlineLevel="0" collapsed="false">
      <c r="B185" s="7"/>
      <c r="G185" s="8"/>
    </row>
    <row r="186" customFormat="false" ht="15" hidden="false" customHeight="false" outlineLevel="0" collapsed="false">
      <c r="B186" s="7"/>
      <c r="G186" s="8"/>
    </row>
    <row r="187" customFormat="false" ht="15" hidden="false" customHeight="false" outlineLevel="0" collapsed="false">
      <c r="B187" s="7"/>
      <c r="G187" s="8"/>
    </row>
    <row r="188" customFormat="false" ht="15" hidden="false" customHeight="false" outlineLevel="0" collapsed="false">
      <c r="B188" s="7"/>
      <c r="G188" s="8"/>
    </row>
    <row r="189" customFormat="false" ht="15" hidden="false" customHeight="false" outlineLevel="0" collapsed="false">
      <c r="B189" s="7"/>
      <c r="G189" s="8"/>
    </row>
    <row r="190" customFormat="false" ht="15" hidden="false" customHeight="false" outlineLevel="0" collapsed="false">
      <c r="B190" s="7"/>
      <c r="G190" s="8"/>
    </row>
    <row r="191" customFormat="false" ht="15" hidden="false" customHeight="false" outlineLevel="0" collapsed="false">
      <c r="B191" s="7"/>
      <c r="G191" s="8"/>
    </row>
    <row r="192" customFormat="false" ht="15" hidden="false" customHeight="false" outlineLevel="0" collapsed="false">
      <c r="B192" s="7"/>
      <c r="G192" s="8"/>
    </row>
    <row r="193" customFormat="false" ht="15" hidden="false" customHeight="false" outlineLevel="0" collapsed="false">
      <c r="B193" s="7"/>
      <c r="G193" s="8"/>
    </row>
    <row r="194" customFormat="false" ht="15" hidden="false" customHeight="false" outlineLevel="0" collapsed="false">
      <c r="B194" s="7"/>
      <c r="G194" s="8"/>
    </row>
    <row r="195" customFormat="false" ht="15" hidden="false" customHeight="false" outlineLevel="0" collapsed="false">
      <c r="B195" s="7"/>
      <c r="G195" s="8"/>
    </row>
    <row r="196" customFormat="false" ht="15" hidden="false" customHeight="false" outlineLevel="0" collapsed="false">
      <c r="B196" s="7"/>
      <c r="G196" s="8"/>
    </row>
    <row r="197" customFormat="false" ht="15" hidden="false" customHeight="false" outlineLevel="0" collapsed="false">
      <c r="B197" s="7"/>
      <c r="G197" s="8"/>
    </row>
    <row r="198" customFormat="false" ht="15" hidden="false" customHeight="false" outlineLevel="0" collapsed="false">
      <c r="B198" s="7"/>
      <c r="G198" s="8"/>
    </row>
    <row r="199" customFormat="false" ht="15" hidden="false" customHeight="false" outlineLevel="0" collapsed="false">
      <c r="B199" s="7"/>
      <c r="G199" s="8"/>
    </row>
    <row r="200" customFormat="false" ht="15" hidden="false" customHeight="false" outlineLevel="0" collapsed="false">
      <c r="B200" s="7"/>
      <c r="G200" s="8"/>
    </row>
    <row r="201" customFormat="false" ht="15" hidden="false" customHeight="false" outlineLevel="0" collapsed="false">
      <c r="B201" s="7"/>
      <c r="G201" s="8"/>
    </row>
    <row r="202" customFormat="false" ht="15" hidden="false" customHeight="false" outlineLevel="0" collapsed="false">
      <c r="B202" s="7"/>
      <c r="G202" s="8"/>
    </row>
    <row r="203" customFormat="false" ht="15" hidden="false" customHeight="false" outlineLevel="0" collapsed="false">
      <c r="B203" s="7"/>
      <c r="G203" s="8"/>
    </row>
    <row r="204" customFormat="false" ht="15" hidden="false" customHeight="false" outlineLevel="0" collapsed="false">
      <c r="B204" s="7"/>
      <c r="G204" s="8"/>
    </row>
    <row r="205" customFormat="false" ht="15" hidden="false" customHeight="false" outlineLevel="0" collapsed="false">
      <c r="B205" s="7"/>
      <c r="G205" s="8"/>
    </row>
    <row r="206" customFormat="false" ht="15" hidden="false" customHeight="false" outlineLevel="0" collapsed="false">
      <c r="B206" s="7"/>
      <c r="G206" s="8"/>
    </row>
    <row r="207" customFormat="false" ht="15" hidden="false" customHeight="false" outlineLevel="0" collapsed="false">
      <c r="B207" s="7"/>
      <c r="G207" s="8"/>
    </row>
    <row r="208" customFormat="false" ht="15" hidden="false" customHeight="false" outlineLevel="0" collapsed="false">
      <c r="B208" s="7"/>
      <c r="G208" s="8"/>
    </row>
    <row r="209" customFormat="false" ht="15" hidden="false" customHeight="false" outlineLevel="0" collapsed="false">
      <c r="B209" s="7"/>
      <c r="G209" s="8"/>
    </row>
    <row r="210" customFormat="false" ht="15" hidden="false" customHeight="false" outlineLevel="0" collapsed="false">
      <c r="B210" s="7"/>
      <c r="G210" s="8"/>
    </row>
    <row r="211" customFormat="false" ht="15" hidden="false" customHeight="false" outlineLevel="0" collapsed="false">
      <c r="B211" s="7"/>
      <c r="G211" s="8"/>
    </row>
    <row r="212" customFormat="false" ht="15" hidden="false" customHeight="false" outlineLevel="0" collapsed="false">
      <c r="B212" s="7"/>
      <c r="G212" s="8"/>
    </row>
    <row r="213" customFormat="false" ht="15" hidden="false" customHeight="false" outlineLevel="0" collapsed="false">
      <c r="B213" s="7"/>
      <c r="G213" s="8"/>
    </row>
    <row r="214" customFormat="false" ht="15" hidden="false" customHeight="false" outlineLevel="0" collapsed="false">
      <c r="B214" s="7"/>
      <c r="G214" s="8"/>
    </row>
    <row r="215" customFormat="false" ht="15" hidden="false" customHeight="false" outlineLevel="0" collapsed="false">
      <c r="B215" s="7"/>
      <c r="G215" s="8"/>
    </row>
    <row r="216" customFormat="false" ht="15" hidden="false" customHeight="false" outlineLevel="0" collapsed="false">
      <c r="B216" s="7"/>
      <c r="G216" s="8"/>
    </row>
    <row r="217" customFormat="false" ht="15" hidden="false" customHeight="false" outlineLevel="0" collapsed="false">
      <c r="B217" s="7"/>
      <c r="G217" s="8"/>
    </row>
    <row r="218" customFormat="false" ht="15" hidden="false" customHeight="false" outlineLevel="0" collapsed="false">
      <c r="B218" s="7"/>
      <c r="G218" s="8"/>
    </row>
    <row r="219" customFormat="false" ht="15" hidden="false" customHeight="false" outlineLevel="0" collapsed="false">
      <c r="B219" s="7"/>
      <c r="G219" s="8"/>
    </row>
    <row r="220" customFormat="false" ht="15" hidden="false" customHeight="false" outlineLevel="0" collapsed="false">
      <c r="B220" s="7"/>
      <c r="G220" s="8"/>
    </row>
    <row r="221" customFormat="false" ht="15" hidden="false" customHeight="false" outlineLevel="0" collapsed="false">
      <c r="B221" s="7"/>
      <c r="G221" s="8"/>
    </row>
    <row r="222" customFormat="false" ht="15" hidden="false" customHeight="false" outlineLevel="0" collapsed="false">
      <c r="B222" s="7"/>
      <c r="G222" s="8"/>
    </row>
    <row r="223" customFormat="false" ht="15" hidden="false" customHeight="false" outlineLevel="0" collapsed="false">
      <c r="B223" s="7"/>
      <c r="G223" s="8"/>
    </row>
    <row r="224" customFormat="false" ht="15" hidden="false" customHeight="false" outlineLevel="0" collapsed="false">
      <c r="B224" s="7"/>
      <c r="G224" s="8"/>
    </row>
    <row r="225" customFormat="false" ht="15" hidden="false" customHeight="false" outlineLevel="0" collapsed="false">
      <c r="B225" s="7"/>
      <c r="G225" s="8"/>
    </row>
    <row r="226" customFormat="false" ht="15" hidden="false" customHeight="false" outlineLevel="0" collapsed="false">
      <c r="B226" s="7"/>
      <c r="G226" s="8"/>
    </row>
    <row r="227" customFormat="false" ht="15" hidden="false" customHeight="false" outlineLevel="0" collapsed="false">
      <c r="B227" s="7"/>
      <c r="G227" s="8"/>
    </row>
    <row r="228" customFormat="false" ht="15" hidden="false" customHeight="false" outlineLevel="0" collapsed="false">
      <c r="B228" s="7"/>
      <c r="G228" s="8"/>
    </row>
    <row r="229" customFormat="false" ht="15" hidden="false" customHeight="false" outlineLevel="0" collapsed="false">
      <c r="B229" s="7"/>
      <c r="G229" s="8"/>
    </row>
    <row r="230" customFormat="false" ht="15" hidden="false" customHeight="false" outlineLevel="0" collapsed="false">
      <c r="B230" s="7"/>
      <c r="G230" s="8"/>
    </row>
    <row r="231" customFormat="false" ht="15" hidden="false" customHeight="false" outlineLevel="0" collapsed="false">
      <c r="B231" s="7"/>
      <c r="G231" s="8"/>
    </row>
    <row r="232" customFormat="false" ht="15" hidden="false" customHeight="false" outlineLevel="0" collapsed="false">
      <c r="B232" s="7"/>
      <c r="G232" s="8"/>
    </row>
    <row r="233" customFormat="false" ht="15" hidden="false" customHeight="false" outlineLevel="0" collapsed="false">
      <c r="B233" s="7"/>
      <c r="G233" s="8"/>
    </row>
    <row r="234" customFormat="false" ht="15" hidden="false" customHeight="false" outlineLevel="0" collapsed="false">
      <c r="B234" s="7"/>
      <c r="G234" s="8"/>
    </row>
    <row r="235" customFormat="false" ht="15" hidden="false" customHeight="false" outlineLevel="0" collapsed="false">
      <c r="B235" s="7"/>
      <c r="G235" s="8"/>
    </row>
    <row r="236" customFormat="false" ht="15" hidden="false" customHeight="false" outlineLevel="0" collapsed="false">
      <c r="B236" s="7"/>
      <c r="G236" s="8"/>
    </row>
    <row r="237" customFormat="false" ht="15" hidden="false" customHeight="false" outlineLevel="0" collapsed="false">
      <c r="B237" s="7"/>
      <c r="G237" s="8"/>
    </row>
    <row r="238" customFormat="false" ht="15" hidden="false" customHeight="false" outlineLevel="0" collapsed="false">
      <c r="B238" s="7"/>
      <c r="G238" s="8"/>
    </row>
    <row r="239" customFormat="false" ht="15" hidden="false" customHeight="false" outlineLevel="0" collapsed="false">
      <c r="B239" s="7"/>
      <c r="G239" s="8"/>
    </row>
    <row r="240" customFormat="false" ht="15" hidden="false" customHeight="false" outlineLevel="0" collapsed="false">
      <c r="B240" s="7"/>
      <c r="G240" s="8"/>
    </row>
    <row r="241" customFormat="false" ht="15" hidden="false" customHeight="false" outlineLevel="0" collapsed="false">
      <c r="B241" s="7"/>
      <c r="G241" s="8"/>
    </row>
    <row r="242" customFormat="false" ht="15" hidden="false" customHeight="false" outlineLevel="0" collapsed="false">
      <c r="B242" s="7"/>
      <c r="G242" s="8"/>
    </row>
    <row r="243" customFormat="false" ht="15" hidden="false" customHeight="false" outlineLevel="0" collapsed="false">
      <c r="B243" s="7"/>
      <c r="G243" s="8"/>
    </row>
    <row r="244" customFormat="false" ht="15" hidden="false" customHeight="false" outlineLevel="0" collapsed="false">
      <c r="B244" s="7"/>
      <c r="G244" s="8"/>
    </row>
    <row r="245" customFormat="false" ht="15" hidden="false" customHeight="false" outlineLevel="0" collapsed="false">
      <c r="B245" s="7"/>
      <c r="G245" s="8"/>
    </row>
    <row r="246" customFormat="false" ht="15" hidden="false" customHeight="false" outlineLevel="0" collapsed="false">
      <c r="B246" s="7"/>
      <c r="G246" s="8"/>
    </row>
    <row r="247" customFormat="false" ht="15" hidden="false" customHeight="false" outlineLevel="0" collapsed="false">
      <c r="B247" s="7"/>
      <c r="G247" s="8"/>
    </row>
    <row r="248" customFormat="false" ht="15" hidden="false" customHeight="false" outlineLevel="0" collapsed="false">
      <c r="B248" s="7"/>
      <c r="G248" s="8"/>
    </row>
    <row r="249" customFormat="false" ht="15" hidden="false" customHeight="false" outlineLevel="0" collapsed="false">
      <c r="B249" s="7"/>
      <c r="G249" s="8"/>
    </row>
    <row r="250" customFormat="false" ht="15" hidden="false" customHeight="false" outlineLevel="0" collapsed="false">
      <c r="B250" s="7"/>
      <c r="G250" s="8"/>
    </row>
    <row r="251" customFormat="false" ht="15" hidden="false" customHeight="false" outlineLevel="0" collapsed="false">
      <c r="B251" s="7"/>
      <c r="G251" s="8"/>
    </row>
    <row r="252" customFormat="false" ht="15" hidden="false" customHeight="false" outlineLevel="0" collapsed="false">
      <c r="B252" s="7"/>
      <c r="G252" s="8"/>
    </row>
    <row r="253" customFormat="false" ht="15" hidden="false" customHeight="false" outlineLevel="0" collapsed="false">
      <c r="B253" s="7"/>
      <c r="G253" s="8"/>
    </row>
    <row r="254" customFormat="false" ht="15" hidden="false" customHeight="false" outlineLevel="0" collapsed="false">
      <c r="B254" s="7"/>
      <c r="G254" s="8"/>
    </row>
    <row r="255" customFormat="false" ht="15" hidden="false" customHeight="false" outlineLevel="0" collapsed="false">
      <c r="B255" s="7"/>
      <c r="G255" s="8"/>
    </row>
    <row r="256" customFormat="false" ht="15" hidden="false" customHeight="false" outlineLevel="0" collapsed="false">
      <c r="B256" s="7"/>
      <c r="G256" s="8"/>
    </row>
    <row r="257" customFormat="false" ht="15" hidden="false" customHeight="false" outlineLevel="0" collapsed="false">
      <c r="B257" s="7"/>
      <c r="G257" s="8"/>
    </row>
    <row r="258" customFormat="false" ht="15" hidden="false" customHeight="false" outlineLevel="0" collapsed="false">
      <c r="B258" s="7"/>
      <c r="G258" s="8"/>
    </row>
    <row r="259" customFormat="false" ht="15" hidden="false" customHeight="false" outlineLevel="0" collapsed="false">
      <c r="B259" s="7"/>
      <c r="G259" s="8"/>
    </row>
    <row r="260" customFormat="false" ht="15" hidden="false" customHeight="false" outlineLevel="0" collapsed="false">
      <c r="B260" s="7"/>
      <c r="G260" s="8"/>
    </row>
    <row r="261" customFormat="false" ht="15" hidden="false" customHeight="false" outlineLevel="0" collapsed="false">
      <c r="B261" s="7"/>
      <c r="G261" s="8"/>
    </row>
    <row r="262" customFormat="false" ht="15" hidden="false" customHeight="false" outlineLevel="0" collapsed="false">
      <c r="B262" s="7"/>
      <c r="G262" s="8"/>
    </row>
    <row r="263" customFormat="false" ht="15" hidden="false" customHeight="false" outlineLevel="0" collapsed="false">
      <c r="B263" s="7"/>
      <c r="G263" s="8"/>
    </row>
    <row r="264" customFormat="false" ht="15" hidden="false" customHeight="false" outlineLevel="0" collapsed="false">
      <c r="B264" s="7"/>
      <c r="G264" s="8"/>
    </row>
    <row r="265" customFormat="false" ht="15" hidden="false" customHeight="false" outlineLevel="0" collapsed="false">
      <c r="B265" s="7"/>
      <c r="G265" s="8"/>
    </row>
    <row r="266" customFormat="false" ht="15" hidden="false" customHeight="false" outlineLevel="0" collapsed="false">
      <c r="B266" s="7"/>
      <c r="G266" s="8"/>
    </row>
    <row r="267" customFormat="false" ht="15" hidden="false" customHeight="false" outlineLevel="0" collapsed="false">
      <c r="B267" s="7"/>
      <c r="G267" s="8"/>
    </row>
    <row r="268" customFormat="false" ht="15" hidden="false" customHeight="false" outlineLevel="0" collapsed="false">
      <c r="B268" s="7"/>
      <c r="G268" s="8"/>
    </row>
    <row r="269" customFormat="false" ht="15" hidden="false" customHeight="false" outlineLevel="0" collapsed="false">
      <c r="B269" s="7"/>
      <c r="G269" s="8"/>
    </row>
    <row r="270" customFormat="false" ht="15" hidden="false" customHeight="false" outlineLevel="0" collapsed="false">
      <c r="B270" s="7"/>
      <c r="G270" s="8"/>
    </row>
    <row r="271" customFormat="false" ht="15" hidden="false" customHeight="false" outlineLevel="0" collapsed="false">
      <c r="B271" s="7"/>
      <c r="G271" s="8"/>
    </row>
    <row r="272" customFormat="false" ht="15" hidden="false" customHeight="false" outlineLevel="0" collapsed="false">
      <c r="B272" s="7"/>
      <c r="G272" s="8"/>
    </row>
    <row r="273" customFormat="false" ht="15" hidden="false" customHeight="false" outlineLevel="0" collapsed="false">
      <c r="B273" s="7"/>
      <c r="G273" s="8"/>
    </row>
    <row r="274" customFormat="false" ht="15" hidden="false" customHeight="false" outlineLevel="0" collapsed="false">
      <c r="B274" s="7"/>
      <c r="G274" s="8"/>
    </row>
    <row r="275" customFormat="false" ht="15" hidden="false" customHeight="false" outlineLevel="0" collapsed="false">
      <c r="B275" s="7"/>
      <c r="G275" s="8"/>
    </row>
    <row r="276" customFormat="false" ht="15" hidden="false" customHeight="false" outlineLevel="0" collapsed="false">
      <c r="B276" s="7"/>
      <c r="G276" s="8"/>
    </row>
    <row r="277" customFormat="false" ht="15" hidden="false" customHeight="false" outlineLevel="0" collapsed="false">
      <c r="B277" s="7"/>
      <c r="G277" s="8"/>
    </row>
    <row r="278" customFormat="false" ht="15" hidden="false" customHeight="false" outlineLevel="0" collapsed="false">
      <c r="B278" s="7"/>
      <c r="G278" s="8"/>
    </row>
    <row r="279" customFormat="false" ht="15" hidden="false" customHeight="false" outlineLevel="0" collapsed="false">
      <c r="B279" s="7"/>
      <c r="G279" s="8"/>
    </row>
    <row r="280" customFormat="false" ht="15" hidden="false" customHeight="false" outlineLevel="0" collapsed="false">
      <c r="B280" s="7"/>
      <c r="G280" s="8"/>
    </row>
    <row r="281" customFormat="false" ht="15" hidden="false" customHeight="false" outlineLevel="0" collapsed="false">
      <c r="B281" s="7"/>
      <c r="G281" s="8"/>
    </row>
    <row r="282" customFormat="false" ht="15" hidden="false" customHeight="false" outlineLevel="0" collapsed="false">
      <c r="B282" s="7"/>
      <c r="G282" s="8"/>
    </row>
    <row r="283" customFormat="false" ht="15" hidden="false" customHeight="false" outlineLevel="0" collapsed="false">
      <c r="B283" s="7"/>
      <c r="G283" s="8"/>
    </row>
    <row r="284" customFormat="false" ht="15" hidden="false" customHeight="false" outlineLevel="0" collapsed="false">
      <c r="B284" s="7"/>
      <c r="G284" s="8"/>
    </row>
    <row r="285" customFormat="false" ht="15" hidden="false" customHeight="false" outlineLevel="0" collapsed="false">
      <c r="B285" s="7"/>
      <c r="G285" s="8"/>
    </row>
    <row r="286" customFormat="false" ht="15" hidden="false" customHeight="false" outlineLevel="0" collapsed="false">
      <c r="B286" s="7"/>
      <c r="G286" s="8"/>
    </row>
    <row r="287" customFormat="false" ht="15" hidden="false" customHeight="false" outlineLevel="0" collapsed="false">
      <c r="B287" s="7"/>
      <c r="G287" s="8"/>
    </row>
    <row r="288" customFormat="false" ht="15" hidden="false" customHeight="false" outlineLevel="0" collapsed="false">
      <c r="B288" s="7"/>
      <c r="G288" s="8"/>
    </row>
    <row r="289" customFormat="false" ht="15" hidden="false" customHeight="false" outlineLevel="0" collapsed="false">
      <c r="B289" s="7"/>
      <c r="G289" s="8"/>
    </row>
    <row r="290" customFormat="false" ht="15" hidden="false" customHeight="false" outlineLevel="0" collapsed="false">
      <c r="B290" s="7"/>
      <c r="G290" s="8"/>
    </row>
    <row r="291" customFormat="false" ht="15" hidden="false" customHeight="false" outlineLevel="0" collapsed="false">
      <c r="B291" s="7"/>
      <c r="G291" s="8"/>
    </row>
    <row r="292" customFormat="false" ht="15" hidden="false" customHeight="false" outlineLevel="0" collapsed="false">
      <c r="B292" s="7"/>
      <c r="G292" s="8"/>
    </row>
    <row r="293" customFormat="false" ht="15" hidden="false" customHeight="false" outlineLevel="0" collapsed="false">
      <c r="B293" s="7"/>
      <c r="G293" s="8"/>
    </row>
    <row r="294" customFormat="false" ht="15" hidden="false" customHeight="false" outlineLevel="0" collapsed="false">
      <c r="B294" s="7"/>
      <c r="G294" s="8"/>
    </row>
    <row r="295" customFormat="false" ht="15" hidden="false" customHeight="false" outlineLevel="0" collapsed="false">
      <c r="B295" s="7"/>
      <c r="G295" s="8"/>
    </row>
    <row r="296" customFormat="false" ht="15" hidden="false" customHeight="false" outlineLevel="0" collapsed="false">
      <c r="B296" s="7"/>
      <c r="G296" s="8"/>
    </row>
    <row r="297" customFormat="false" ht="15" hidden="false" customHeight="false" outlineLevel="0" collapsed="false">
      <c r="B297" s="7"/>
      <c r="G297" s="8"/>
    </row>
    <row r="298" customFormat="false" ht="15" hidden="false" customHeight="false" outlineLevel="0" collapsed="false">
      <c r="B298" s="7"/>
      <c r="G298" s="8"/>
    </row>
    <row r="299" customFormat="false" ht="15" hidden="false" customHeight="false" outlineLevel="0" collapsed="false">
      <c r="B299" s="7"/>
      <c r="G299" s="8"/>
    </row>
    <row r="300" customFormat="false" ht="15" hidden="false" customHeight="false" outlineLevel="0" collapsed="false">
      <c r="B300" s="7"/>
      <c r="G300" s="8"/>
    </row>
    <row r="301" customFormat="false" ht="15" hidden="false" customHeight="false" outlineLevel="0" collapsed="false">
      <c r="B301" s="7"/>
      <c r="G301" s="8"/>
    </row>
    <row r="302" customFormat="false" ht="15" hidden="false" customHeight="false" outlineLevel="0" collapsed="false">
      <c r="B302" s="7"/>
      <c r="G302" s="8"/>
    </row>
    <row r="303" customFormat="false" ht="15" hidden="false" customHeight="false" outlineLevel="0" collapsed="false">
      <c r="B303" s="7"/>
      <c r="G303" s="8"/>
    </row>
    <row r="304" customFormat="false" ht="15" hidden="false" customHeight="false" outlineLevel="0" collapsed="false">
      <c r="B304" s="7"/>
      <c r="G304" s="8"/>
    </row>
    <row r="305" customFormat="false" ht="15" hidden="false" customHeight="false" outlineLevel="0" collapsed="false">
      <c r="B305" s="7"/>
      <c r="G305" s="8"/>
    </row>
    <row r="306" customFormat="false" ht="15" hidden="false" customHeight="false" outlineLevel="0" collapsed="false">
      <c r="B306" s="7"/>
      <c r="G306" s="8"/>
    </row>
    <row r="307" customFormat="false" ht="15" hidden="false" customHeight="false" outlineLevel="0" collapsed="false">
      <c r="B307" s="7"/>
      <c r="G307" s="8"/>
    </row>
    <row r="308" customFormat="false" ht="15" hidden="false" customHeight="false" outlineLevel="0" collapsed="false">
      <c r="B308" s="7"/>
      <c r="G308" s="8"/>
    </row>
    <row r="309" customFormat="false" ht="15" hidden="false" customHeight="false" outlineLevel="0" collapsed="false">
      <c r="B309" s="7"/>
      <c r="G309" s="8"/>
    </row>
    <row r="310" customFormat="false" ht="15" hidden="false" customHeight="false" outlineLevel="0" collapsed="false">
      <c r="B310" s="7"/>
      <c r="G310" s="8"/>
    </row>
    <row r="311" customFormat="false" ht="15" hidden="false" customHeight="false" outlineLevel="0" collapsed="false">
      <c r="B311" s="7"/>
      <c r="G311" s="8"/>
    </row>
    <row r="312" customFormat="false" ht="15" hidden="false" customHeight="false" outlineLevel="0" collapsed="false">
      <c r="B312" s="7"/>
      <c r="G312" s="8"/>
    </row>
    <row r="313" customFormat="false" ht="15" hidden="false" customHeight="false" outlineLevel="0" collapsed="false">
      <c r="B313" s="7"/>
      <c r="G313" s="8"/>
    </row>
    <row r="314" customFormat="false" ht="15" hidden="false" customHeight="false" outlineLevel="0" collapsed="false">
      <c r="B314" s="7"/>
      <c r="G314" s="8"/>
    </row>
    <row r="315" customFormat="false" ht="15" hidden="false" customHeight="false" outlineLevel="0" collapsed="false">
      <c r="B315" s="7"/>
      <c r="G315" s="8"/>
    </row>
    <row r="316" customFormat="false" ht="15" hidden="false" customHeight="false" outlineLevel="0" collapsed="false">
      <c r="B316" s="7"/>
      <c r="G316" s="8"/>
    </row>
    <row r="317" customFormat="false" ht="15" hidden="false" customHeight="false" outlineLevel="0" collapsed="false">
      <c r="B317" s="7"/>
      <c r="G317" s="8"/>
    </row>
    <row r="318" customFormat="false" ht="15" hidden="false" customHeight="false" outlineLevel="0" collapsed="false">
      <c r="B318" s="7"/>
      <c r="G318" s="8"/>
    </row>
    <row r="319" customFormat="false" ht="15" hidden="false" customHeight="false" outlineLevel="0" collapsed="false">
      <c r="B319" s="7"/>
      <c r="G319" s="8"/>
    </row>
    <row r="320" customFormat="false" ht="15" hidden="false" customHeight="false" outlineLevel="0" collapsed="false">
      <c r="B320" s="7"/>
      <c r="G320" s="8"/>
    </row>
    <row r="321" customFormat="false" ht="15" hidden="false" customHeight="false" outlineLevel="0" collapsed="false">
      <c r="B321" s="7"/>
      <c r="G321" s="8"/>
    </row>
    <row r="322" customFormat="false" ht="15" hidden="false" customHeight="false" outlineLevel="0" collapsed="false">
      <c r="B322" s="7"/>
      <c r="G322" s="8"/>
    </row>
    <row r="323" customFormat="false" ht="15" hidden="false" customHeight="false" outlineLevel="0" collapsed="false">
      <c r="B323" s="7"/>
      <c r="G323" s="8"/>
    </row>
    <row r="324" customFormat="false" ht="15" hidden="false" customHeight="false" outlineLevel="0" collapsed="false">
      <c r="B324" s="7"/>
      <c r="G324" s="8"/>
    </row>
    <row r="325" customFormat="false" ht="15" hidden="false" customHeight="false" outlineLevel="0" collapsed="false">
      <c r="B325" s="7"/>
      <c r="G325" s="8"/>
    </row>
    <row r="326" customFormat="false" ht="15" hidden="false" customHeight="false" outlineLevel="0" collapsed="false">
      <c r="B326" s="7"/>
      <c r="G326" s="8"/>
    </row>
    <row r="327" customFormat="false" ht="15" hidden="false" customHeight="false" outlineLevel="0" collapsed="false">
      <c r="B327" s="7"/>
      <c r="G327" s="8"/>
    </row>
    <row r="328" customFormat="false" ht="15" hidden="false" customHeight="false" outlineLevel="0" collapsed="false">
      <c r="B328" s="7"/>
      <c r="G328" s="8"/>
    </row>
    <row r="329" customFormat="false" ht="15" hidden="false" customHeight="false" outlineLevel="0" collapsed="false">
      <c r="B329" s="7"/>
      <c r="G329" s="8"/>
    </row>
    <row r="330" customFormat="false" ht="15" hidden="false" customHeight="false" outlineLevel="0" collapsed="false">
      <c r="B330" s="7"/>
      <c r="G330" s="8"/>
    </row>
    <row r="331" customFormat="false" ht="15" hidden="false" customHeight="false" outlineLevel="0" collapsed="false">
      <c r="B331" s="7"/>
      <c r="G331" s="8"/>
    </row>
    <row r="332" customFormat="false" ht="15" hidden="false" customHeight="false" outlineLevel="0" collapsed="false">
      <c r="B332" s="7"/>
      <c r="G332" s="8"/>
    </row>
    <row r="333" customFormat="false" ht="15" hidden="false" customHeight="false" outlineLevel="0" collapsed="false">
      <c r="B333" s="7"/>
      <c r="G333" s="8"/>
    </row>
    <row r="334" customFormat="false" ht="15" hidden="false" customHeight="false" outlineLevel="0" collapsed="false">
      <c r="B334" s="7"/>
      <c r="G334" s="8"/>
    </row>
    <row r="335" customFormat="false" ht="15" hidden="false" customHeight="false" outlineLevel="0" collapsed="false">
      <c r="B335" s="7"/>
      <c r="G335" s="8"/>
    </row>
    <row r="336" customFormat="false" ht="15" hidden="false" customHeight="false" outlineLevel="0" collapsed="false">
      <c r="B336" s="7"/>
      <c r="G336" s="8"/>
    </row>
    <row r="337" customFormat="false" ht="15" hidden="false" customHeight="false" outlineLevel="0" collapsed="false">
      <c r="B337" s="7"/>
      <c r="G337" s="8"/>
    </row>
    <row r="338" customFormat="false" ht="15" hidden="false" customHeight="false" outlineLevel="0" collapsed="false">
      <c r="B338" s="7"/>
      <c r="G338" s="8"/>
    </row>
    <row r="339" customFormat="false" ht="15" hidden="false" customHeight="false" outlineLevel="0" collapsed="false">
      <c r="B339" s="7"/>
      <c r="G339" s="8"/>
    </row>
    <row r="340" customFormat="false" ht="15" hidden="false" customHeight="false" outlineLevel="0" collapsed="false">
      <c r="B340" s="7"/>
      <c r="G340" s="8"/>
    </row>
    <row r="341" customFormat="false" ht="15" hidden="false" customHeight="false" outlineLevel="0" collapsed="false">
      <c r="B341" s="7"/>
      <c r="G341" s="8"/>
    </row>
    <row r="342" customFormat="false" ht="15" hidden="false" customHeight="false" outlineLevel="0" collapsed="false">
      <c r="B342" s="7"/>
      <c r="G342" s="8"/>
    </row>
    <row r="343" customFormat="false" ht="15" hidden="false" customHeight="false" outlineLevel="0" collapsed="false">
      <c r="B343" s="7"/>
      <c r="G343" s="8"/>
    </row>
    <row r="344" customFormat="false" ht="15" hidden="false" customHeight="false" outlineLevel="0" collapsed="false">
      <c r="B344" s="7"/>
      <c r="G344" s="8"/>
    </row>
    <row r="345" customFormat="false" ht="15" hidden="false" customHeight="false" outlineLevel="0" collapsed="false">
      <c r="B345" s="7"/>
      <c r="G345" s="8"/>
    </row>
    <row r="346" customFormat="false" ht="15" hidden="false" customHeight="false" outlineLevel="0" collapsed="false">
      <c r="B346" s="7"/>
      <c r="G346" s="8"/>
    </row>
    <row r="347" customFormat="false" ht="15" hidden="false" customHeight="false" outlineLevel="0" collapsed="false">
      <c r="B347" s="7"/>
      <c r="G347" s="8"/>
    </row>
    <row r="348" customFormat="false" ht="15" hidden="false" customHeight="false" outlineLevel="0" collapsed="false">
      <c r="B348" s="7"/>
      <c r="G348" s="8"/>
    </row>
    <row r="349" customFormat="false" ht="15" hidden="false" customHeight="false" outlineLevel="0" collapsed="false">
      <c r="B349" s="7"/>
      <c r="G349" s="8"/>
    </row>
    <row r="350" customFormat="false" ht="15" hidden="false" customHeight="false" outlineLevel="0" collapsed="false">
      <c r="B350" s="7"/>
      <c r="G350" s="8"/>
    </row>
    <row r="351" customFormat="false" ht="15" hidden="false" customHeight="false" outlineLevel="0" collapsed="false">
      <c r="B351" s="7"/>
      <c r="G351" s="8"/>
    </row>
    <row r="352" customFormat="false" ht="15" hidden="false" customHeight="false" outlineLevel="0" collapsed="false">
      <c r="B352" s="7"/>
      <c r="G352" s="8"/>
    </row>
    <row r="353" customFormat="false" ht="15" hidden="false" customHeight="false" outlineLevel="0" collapsed="false">
      <c r="B353" s="7"/>
      <c r="G353" s="8"/>
    </row>
    <row r="354" customFormat="false" ht="15" hidden="false" customHeight="false" outlineLevel="0" collapsed="false">
      <c r="B354" s="7"/>
      <c r="G354" s="8"/>
    </row>
    <row r="355" customFormat="false" ht="15" hidden="false" customHeight="false" outlineLevel="0" collapsed="false">
      <c r="B355" s="7"/>
      <c r="G355" s="8"/>
    </row>
    <row r="356" customFormat="false" ht="15" hidden="false" customHeight="false" outlineLevel="0" collapsed="false">
      <c r="B356" s="7"/>
      <c r="G356" s="8"/>
    </row>
    <row r="357" customFormat="false" ht="15" hidden="false" customHeight="false" outlineLevel="0" collapsed="false">
      <c r="B357" s="7"/>
      <c r="G357" s="8"/>
    </row>
    <row r="358" customFormat="false" ht="15" hidden="false" customHeight="false" outlineLevel="0" collapsed="false">
      <c r="B358" s="7"/>
      <c r="G358" s="8"/>
    </row>
    <row r="359" customFormat="false" ht="15" hidden="false" customHeight="false" outlineLevel="0" collapsed="false">
      <c r="B359" s="7"/>
      <c r="G359" s="8"/>
    </row>
    <row r="360" customFormat="false" ht="15" hidden="false" customHeight="false" outlineLevel="0" collapsed="false">
      <c r="B360" s="7"/>
      <c r="G360" s="8"/>
    </row>
    <row r="361" customFormat="false" ht="15" hidden="false" customHeight="false" outlineLevel="0" collapsed="false">
      <c r="B361" s="7"/>
      <c r="G361" s="8"/>
    </row>
    <row r="362" customFormat="false" ht="15" hidden="false" customHeight="false" outlineLevel="0" collapsed="false">
      <c r="B362" s="7"/>
      <c r="G362" s="8"/>
    </row>
    <row r="363" customFormat="false" ht="15" hidden="false" customHeight="false" outlineLevel="0" collapsed="false">
      <c r="B363" s="7"/>
      <c r="G363" s="8"/>
    </row>
    <row r="364" customFormat="false" ht="15" hidden="false" customHeight="false" outlineLevel="0" collapsed="false">
      <c r="B364" s="7"/>
      <c r="G364" s="8"/>
    </row>
    <row r="365" customFormat="false" ht="15" hidden="false" customHeight="false" outlineLevel="0" collapsed="false">
      <c r="B365" s="7"/>
      <c r="G365" s="8"/>
    </row>
    <row r="366" customFormat="false" ht="15" hidden="false" customHeight="false" outlineLevel="0" collapsed="false">
      <c r="B366" s="7"/>
      <c r="G366" s="8"/>
    </row>
    <row r="367" customFormat="false" ht="15" hidden="false" customHeight="false" outlineLevel="0" collapsed="false">
      <c r="B367" s="7"/>
      <c r="G367" s="8"/>
    </row>
    <row r="368" customFormat="false" ht="15" hidden="false" customHeight="false" outlineLevel="0" collapsed="false">
      <c r="B368" s="7"/>
      <c r="G368" s="8"/>
    </row>
    <row r="369" customFormat="false" ht="15" hidden="false" customHeight="false" outlineLevel="0" collapsed="false">
      <c r="B369" s="7"/>
      <c r="G369" s="8"/>
    </row>
    <row r="370" customFormat="false" ht="15" hidden="false" customHeight="false" outlineLevel="0" collapsed="false">
      <c r="B370" s="7"/>
      <c r="G370" s="8"/>
    </row>
    <row r="371" customFormat="false" ht="15" hidden="false" customHeight="false" outlineLevel="0" collapsed="false">
      <c r="B371" s="7"/>
      <c r="G371" s="8"/>
    </row>
    <row r="372" customFormat="false" ht="15" hidden="false" customHeight="false" outlineLevel="0" collapsed="false">
      <c r="B372" s="7"/>
      <c r="G372" s="8"/>
    </row>
    <row r="373" customFormat="false" ht="15" hidden="false" customHeight="false" outlineLevel="0" collapsed="false">
      <c r="B373" s="7"/>
      <c r="G373" s="8"/>
    </row>
    <row r="374" customFormat="false" ht="15" hidden="false" customHeight="false" outlineLevel="0" collapsed="false">
      <c r="B374" s="7"/>
      <c r="G374" s="8"/>
    </row>
    <row r="375" customFormat="false" ht="15" hidden="false" customHeight="false" outlineLevel="0" collapsed="false">
      <c r="B375" s="7"/>
      <c r="G375" s="8"/>
    </row>
    <row r="376" customFormat="false" ht="15" hidden="false" customHeight="false" outlineLevel="0" collapsed="false">
      <c r="B376" s="7"/>
      <c r="G376" s="8"/>
    </row>
    <row r="377" customFormat="false" ht="15" hidden="false" customHeight="false" outlineLevel="0" collapsed="false">
      <c r="B377" s="7"/>
      <c r="G377" s="8"/>
    </row>
    <row r="378" customFormat="false" ht="15" hidden="false" customHeight="false" outlineLevel="0" collapsed="false">
      <c r="B378" s="7"/>
      <c r="G378" s="8"/>
    </row>
    <row r="379" customFormat="false" ht="15" hidden="false" customHeight="false" outlineLevel="0" collapsed="false">
      <c r="B379" s="7"/>
      <c r="G379" s="8"/>
    </row>
    <row r="380" customFormat="false" ht="15" hidden="false" customHeight="false" outlineLevel="0" collapsed="false">
      <c r="B380" s="7"/>
      <c r="G380" s="8"/>
    </row>
    <row r="381" customFormat="false" ht="15" hidden="false" customHeight="false" outlineLevel="0" collapsed="false">
      <c r="B381" s="7"/>
      <c r="G381" s="8"/>
    </row>
    <row r="382" customFormat="false" ht="15" hidden="false" customHeight="false" outlineLevel="0" collapsed="false">
      <c r="B382" s="7"/>
      <c r="G382" s="8"/>
    </row>
    <row r="383" customFormat="false" ht="15" hidden="false" customHeight="false" outlineLevel="0" collapsed="false">
      <c r="B383" s="7"/>
      <c r="G383" s="8"/>
    </row>
    <row r="384" customFormat="false" ht="15" hidden="false" customHeight="false" outlineLevel="0" collapsed="false">
      <c r="B384" s="7"/>
      <c r="G384" s="8"/>
    </row>
    <row r="385" customFormat="false" ht="15" hidden="false" customHeight="false" outlineLevel="0" collapsed="false">
      <c r="B385" s="7"/>
      <c r="G385" s="8"/>
    </row>
    <row r="386" customFormat="false" ht="15" hidden="false" customHeight="false" outlineLevel="0" collapsed="false">
      <c r="B386" s="7"/>
      <c r="G386" s="8"/>
    </row>
    <row r="387" customFormat="false" ht="15" hidden="false" customHeight="false" outlineLevel="0" collapsed="false">
      <c r="B387" s="7"/>
      <c r="G387" s="8"/>
    </row>
    <row r="388" customFormat="false" ht="15" hidden="false" customHeight="false" outlineLevel="0" collapsed="false">
      <c r="B388" s="7"/>
      <c r="G388" s="8"/>
    </row>
    <row r="389" customFormat="false" ht="15" hidden="false" customHeight="false" outlineLevel="0" collapsed="false">
      <c r="B389" s="7"/>
      <c r="G389" s="8"/>
    </row>
    <row r="390" customFormat="false" ht="15" hidden="false" customHeight="false" outlineLevel="0" collapsed="false">
      <c r="B390" s="7"/>
      <c r="G390" s="8"/>
    </row>
    <row r="391" customFormat="false" ht="15" hidden="false" customHeight="false" outlineLevel="0" collapsed="false">
      <c r="B391" s="7"/>
      <c r="G391" s="8"/>
    </row>
    <row r="392" customFormat="false" ht="15" hidden="false" customHeight="false" outlineLevel="0" collapsed="false">
      <c r="B392" s="7"/>
      <c r="G392" s="8"/>
    </row>
    <row r="393" customFormat="false" ht="15" hidden="false" customHeight="false" outlineLevel="0" collapsed="false">
      <c r="B393" s="7"/>
      <c r="G393" s="8"/>
    </row>
    <row r="394" customFormat="false" ht="15" hidden="false" customHeight="false" outlineLevel="0" collapsed="false">
      <c r="B394" s="7"/>
      <c r="G394" s="8"/>
    </row>
    <row r="395" customFormat="false" ht="15" hidden="false" customHeight="false" outlineLevel="0" collapsed="false">
      <c r="B395" s="7"/>
      <c r="G395" s="8"/>
    </row>
    <row r="396" customFormat="false" ht="15" hidden="false" customHeight="false" outlineLevel="0" collapsed="false">
      <c r="B396" s="7"/>
      <c r="G396" s="8"/>
    </row>
    <row r="397" customFormat="false" ht="15" hidden="false" customHeight="false" outlineLevel="0" collapsed="false">
      <c r="B397" s="7"/>
      <c r="G397" s="8"/>
    </row>
    <row r="398" customFormat="false" ht="15" hidden="false" customHeight="false" outlineLevel="0" collapsed="false">
      <c r="B398" s="7"/>
      <c r="G398" s="8"/>
    </row>
    <row r="399" customFormat="false" ht="15" hidden="false" customHeight="false" outlineLevel="0" collapsed="false">
      <c r="B399" s="7"/>
      <c r="G399" s="8"/>
    </row>
    <row r="400" customFormat="false" ht="15" hidden="false" customHeight="false" outlineLevel="0" collapsed="false">
      <c r="B400" s="7"/>
      <c r="G400" s="8"/>
    </row>
    <row r="401" customFormat="false" ht="15" hidden="false" customHeight="false" outlineLevel="0" collapsed="false">
      <c r="B401" s="7"/>
      <c r="G401" s="8"/>
    </row>
    <row r="402" customFormat="false" ht="15" hidden="false" customHeight="false" outlineLevel="0" collapsed="false">
      <c r="B402" s="7"/>
      <c r="G402" s="8"/>
    </row>
    <row r="403" customFormat="false" ht="15" hidden="false" customHeight="false" outlineLevel="0" collapsed="false">
      <c r="B403" s="7"/>
      <c r="G403" s="8"/>
    </row>
    <row r="404" customFormat="false" ht="15" hidden="false" customHeight="false" outlineLevel="0" collapsed="false">
      <c r="B404" s="7"/>
      <c r="G404" s="8"/>
    </row>
    <row r="405" customFormat="false" ht="15" hidden="false" customHeight="false" outlineLevel="0" collapsed="false">
      <c r="B405" s="7"/>
      <c r="G405" s="8"/>
    </row>
    <row r="406" customFormat="false" ht="15" hidden="false" customHeight="false" outlineLevel="0" collapsed="false">
      <c r="B406" s="7"/>
      <c r="G406" s="8"/>
    </row>
    <row r="407" customFormat="false" ht="15" hidden="false" customHeight="false" outlineLevel="0" collapsed="false">
      <c r="B407" s="7"/>
      <c r="G407" s="8"/>
    </row>
    <row r="408" customFormat="false" ht="15" hidden="false" customHeight="false" outlineLevel="0" collapsed="false">
      <c r="B408" s="7"/>
      <c r="G408" s="8"/>
    </row>
    <row r="409" customFormat="false" ht="15" hidden="false" customHeight="false" outlineLevel="0" collapsed="false">
      <c r="B409" s="7"/>
      <c r="G409" s="8"/>
    </row>
    <row r="410" customFormat="false" ht="15" hidden="false" customHeight="false" outlineLevel="0" collapsed="false">
      <c r="B410" s="7"/>
      <c r="G410" s="8"/>
    </row>
    <row r="411" customFormat="false" ht="15" hidden="false" customHeight="false" outlineLevel="0" collapsed="false">
      <c r="B411" s="7"/>
      <c r="G411" s="8"/>
    </row>
    <row r="412" customFormat="false" ht="15" hidden="false" customHeight="false" outlineLevel="0" collapsed="false">
      <c r="B412" s="7"/>
      <c r="G412" s="8"/>
    </row>
    <row r="413" customFormat="false" ht="15" hidden="false" customHeight="false" outlineLevel="0" collapsed="false">
      <c r="B413" s="7"/>
      <c r="G413" s="8"/>
    </row>
    <row r="414" customFormat="false" ht="15" hidden="false" customHeight="false" outlineLevel="0" collapsed="false">
      <c r="B414" s="7"/>
      <c r="G414" s="8"/>
    </row>
    <row r="415" customFormat="false" ht="15" hidden="false" customHeight="false" outlineLevel="0" collapsed="false">
      <c r="B415" s="7"/>
      <c r="G415" s="8"/>
    </row>
    <row r="416" customFormat="false" ht="15" hidden="false" customHeight="false" outlineLevel="0" collapsed="false">
      <c r="B416" s="7"/>
      <c r="G416" s="8"/>
    </row>
    <row r="417" customFormat="false" ht="15" hidden="false" customHeight="false" outlineLevel="0" collapsed="false">
      <c r="B417" s="7"/>
      <c r="G417" s="8"/>
    </row>
    <row r="418" customFormat="false" ht="15" hidden="false" customHeight="false" outlineLevel="0" collapsed="false">
      <c r="B418" s="7"/>
      <c r="G418" s="8"/>
    </row>
    <row r="419" customFormat="false" ht="15" hidden="false" customHeight="false" outlineLevel="0" collapsed="false">
      <c r="B419" s="7"/>
      <c r="G419" s="8"/>
    </row>
    <row r="420" customFormat="false" ht="15" hidden="false" customHeight="false" outlineLevel="0" collapsed="false">
      <c r="B420" s="7"/>
      <c r="G420" s="8"/>
    </row>
    <row r="421" customFormat="false" ht="15" hidden="false" customHeight="false" outlineLevel="0" collapsed="false">
      <c r="B421" s="7"/>
      <c r="G421" s="8"/>
    </row>
    <row r="422" customFormat="false" ht="15" hidden="false" customHeight="false" outlineLevel="0" collapsed="false">
      <c r="B422" s="7"/>
      <c r="G422" s="8"/>
    </row>
    <row r="423" customFormat="false" ht="15" hidden="false" customHeight="false" outlineLevel="0" collapsed="false">
      <c r="B423" s="7"/>
      <c r="G423" s="8"/>
    </row>
    <row r="424" customFormat="false" ht="15" hidden="false" customHeight="false" outlineLevel="0" collapsed="false">
      <c r="B424" s="7"/>
      <c r="G424" s="8"/>
    </row>
    <row r="425" customFormat="false" ht="15" hidden="false" customHeight="false" outlineLevel="0" collapsed="false">
      <c r="B425" s="7"/>
      <c r="G425" s="8"/>
    </row>
    <row r="426" customFormat="false" ht="15" hidden="false" customHeight="false" outlineLevel="0" collapsed="false">
      <c r="B426" s="7"/>
      <c r="G426" s="8"/>
    </row>
    <row r="427" customFormat="false" ht="15" hidden="false" customHeight="false" outlineLevel="0" collapsed="false">
      <c r="B427" s="7"/>
      <c r="G427" s="8"/>
    </row>
    <row r="428" customFormat="false" ht="15" hidden="false" customHeight="false" outlineLevel="0" collapsed="false">
      <c r="B428" s="7"/>
      <c r="G428" s="8"/>
    </row>
    <row r="429" customFormat="false" ht="15" hidden="false" customHeight="false" outlineLevel="0" collapsed="false">
      <c r="B429" s="7"/>
      <c r="G429" s="8"/>
    </row>
    <row r="430" customFormat="false" ht="15" hidden="false" customHeight="false" outlineLevel="0" collapsed="false">
      <c r="B430" s="7"/>
      <c r="G430" s="8"/>
    </row>
    <row r="431" customFormat="false" ht="15" hidden="false" customHeight="false" outlineLevel="0" collapsed="false">
      <c r="B431" s="7"/>
      <c r="G431" s="8"/>
    </row>
    <row r="432" customFormat="false" ht="15" hidden="false" customHeight="false" outlineLevel="0" collapsed="false">
      <c r="B432" s="7"/>
      <c r="G432" s="8"/>
    </row>
    <row r="433" customFormat="false" ht="15" hidden="false" customHeight="false" outlineLevel="0" collapsed="false">
      <c r="B433" s="7"/>
      <c r="G433" s="8"/>
    </row>
    <row r="434" customFormat="false" ht="15" hidden="false" customHeight="false" outlineLevel="0" collapsed="false">
      <c r="B434" s="7"/>
      <c r="G434" s="8"/>
    </row>
    <row r="435" customFormat="false" ht="15" hidden="false" customHeight="false" outlineLevel="0" collapsed="false">
      <c r="B435" s="7"/>
      <c r="G435" s="8"/>
    </row>
    <row r="436" customFormat="false" ht="15" hidden="false" customHeight="false" outlineLevel="0" collapsed="false">
      <c r="B436" s="7"/>
      <c r="G436" s="8"/>
    </row>
    <row r="437" customFormat="false" ht="15" hidden="false" customHeight="false" outlineLevel="0" collapsed="false">
      <c r="B437" s="7"/>
      <c r="G437" s="8"/>
    </row>
    <row r="438" customFormat="false" ht="15" hidden="false" customHeight="false" outlineLevel="0" collapsed="false">
      <c r="B438" s="7"/>
      <c r="G438" s="8"/>
    </row>
    <row r="439" customFormat="false" ht="15" hidden="false" customHeight="false" outlineLevel="0" collapsed="false">
      <c r="B439" s="7"/>
      <c r="G439" s="8"/>
    </row>
    <row r="440" customFormat="false" ht="15" hidden="false" customHeight="false" outlineLevel="0" collapsed="false">
      <c r="B440" s="7"/>
      <c r="G440" s="8"/>
    </row>
    <row r="441" customFormat="false" ht="15" hidden="false" customHeight="false" outlineLevel="0" collapsed="false">
      <c r="B441" s="7"/>
      <c r="G441" s="8"/>
    </row>
    <row r="442" customFormat="false" ht="15" hidden="false" customHeight="false" outlineLevel="0" collapsed="false">
      <c r="B442" s="7"/>
      <c r="G442" s="8"/>
    </row>
    <row r="443" customFormat="false" ht="15" hidden="false" customHeight="false" outlineLevel="0" collapsed="false">
      <c r="B443" s="7"/>
      <c r="G443" s="8"/>
    </row>
    <row r="444" customFormat="false" ht="15" hidden="false" customHeight="false" outlineLevel="0" collapsed="false">
      <c r="B444" s="7"/>
      <c r="G444" s="8"/>
    </row>
    <row r="445" customFormat="false" ht="15" hidden="false" customHeight="false" outlineLevel="0" collapsed="false">
      <c r="B445" s="7"/>
      <c r="G445" s="8"/>
    </row>
    <row r="446" customFormat="false" ht="15" hidden="false" customHeight="false" outlineLevel="0" collapsed="false">
      <c r="B446" s="7"/>
      <c r="G446" s="8"/>
    </row>
    <row r="447" customFormat="false" ht="15" hidden="false" customHeight="false" outlineLevel="0" collapsed="false">
      <c r="B447" s="7"/>
      <c r="G447" s="8"/>
    </row>
    <row r="448" customFormat="false" ht="15" hidden="false" customHeight="false" outlineLevel="0" collapsed="false">
      <c r="B448" s="7"/>
      <c r="G448" s="8"/>
    </row>
    <row r="449" customFormat="false" ht="15" hidden="false" customHeight="false" outlineLevel="0" collapsed="false">
      <c r="B449" s="7"/>
      <c r="G449" s="8"/>
    </row>
    <row r="450" customFormat="false" ht="15" hidden="false" customHeight="false" outlineLevel="0" collapsed="false">
      <c r="B450" s="7"/>
      <c r="G450" s="8"/>
    </row>
    <row r="451" customFormat="false" ht="15" hidden="false" customHeight="false" outlineLevel="0" collapsed="false">
      <c r="B451" s="7"/>
      <c r="G451" s="8"/>
    </row>
    <row r="452" customFormat="false" ht="15" hidden="false" customHeight="false" outlineLevel="0" collapsed="false">
      <c r="B452" s="7"/>
      <c r="G452" s="8"/>
    </row>
    <row r="453" customFormat="false" ht="15" hidden="false" customHeight="false" outlineLevel="0" collapsed="false">
      <c r="B453" s="7"/>
      <c r="G453" s="8"/>
    </row>
    <row r="454" customFormat="false" ht="15" hidden="false" customHeight="false" outlineLevel="0" collapsed="false">
      <c r="B454" s="7"/>
      <c r="G454" s="8"/>
    </row>
    <row r="455" customFormat="false" ht="15" hidden="false" customHeight="false" outlineLevel="0" collapsed="false">
      <c r="B455" s="7"/>
      <c r="G455" s="8"/>
    </row>
    <row r="456" customFormat="false" ht="15" hidden="false" customHeight="false" outlineLevel="0" collapsed="false">
      <c r="B456" s="7"/>
      <c r="G456" s="8"/>
    </row>
    <row r="457" customFormat="false" ht="15" hidden="false" customHeight="false" outlineLevel="0" collapsed="false">
      <c r="B457" s="7"/>
      <c r="G457" s="8"/>
    </row>
    <row r="458" customFormat="false" ht="15" hidden="false" customHeight="false" outlineLevel="0" collapsed="false">
      <c r="B458" s="7"/>
      <c r="G458" s="8"/>
    </row>
    <row r="459" customFormat="false" ht="15" hidden="false" customHeight="false" outlineLevel="0" collapsed="false">
      <c r="B459" s="7"/>
      <c r="G459" s="8"/>
    </row>
    <row r="460" customFormat="false" ht="15" hidden="false" customHeight="false" outlineLevel="0" collapsed="false">
      <c r="B460" s="7"/>
      <c r="G460" s="8"/>
    </row>
    <row r="461" customFormat="false" ht="15" hidden="false" customHeight="false" outlineLevel="0" collapsed="false">
      <c r="B461" s="7"/>
      <c r="G461" s="8"/>
    </row>
    <row r="462" customFormat="false" ht="15" hidden="false" customHeight="false" outlineLevel="0" collapsed="false">
      <c r="B462" s="7"/>
      <c r="G462" s="8"/>
    </row>
    <row r="463" customFormat="false" ht="15" hidden="false" customHeight="false" outlineLevel="0" collapsed="false">
      <c r="B463" s="7"/>
      <c r="G463" s="8"/>
    </row>
    <row r="464" customFormat="false" ht="15" hidden="false" customHeight="false" outlineLevel="0" collapsed="false">
      <c r="B464" s="7"/>
      <c r="G464" s="8"/>
    </row>
    <row r="465" customFormat="false" ht="15" hidden="false" customHeight="false" outlineLevel="0" collapsed="false">
      <c r="B465" s="7"/>
      <c r="G465" s="8"/>
    </row>
    <row r="466" customFormat="false" ht="15" hidden="false" customHeight="false" outlineLevel="0" collapsed="false">
      <c r="B466" s="7"/>
      <c r="G466" s="8"/>
    </row>
    <row r="467" customFormat="false" ht="15" hidden="false" customHeight="false" outlineLevel="0" collapsed="false">
      <c r="B467" s="7"/>
      <c r="G467" s="8"/>
    </row>
    <row r="468" customFormat="false" ht="15" hidden="false" customHeight="false" outlineLevel="0" collapsed="false">
      <c r="B468" s="7"/>
      <c r="G468" s="8"/>
    </row>
    <row r="469" customFormat="false" ht="15" hidden="false" customHeight="false" outlineLevel="0" collapsed="false">
      <c r="B469" s="7"/>
      <c r="G469" s="8"/>
    </row>
    <row r="470" customFormat="false" ht="15" hidden="false" customHeight="false" outlineLevel="0" collapsed="false">
      <c r="B470" s="7"/>
      <c r="G470" s="8"/>
    </row>
    <row r="471" customFormat="false" ht="15" hidden="false" customHeight="false" outlineLevel="0" collapsed="false">
      <c r="B471" s="7"/>
      <c r="G471" s="8"/>
    </row>
    <row r="472" customFormat="false" ht="15" hidden="false" customHeight="false" outlineLevel="0" collapsed="false">
      <c r="B472" s="7"/>
      <c r="G472" s="8"/>
    </row>
    <row r="473" customFormat="false" ht="15" hidden="false" customHeight="false" outlineLevel="0" collapsed="false">
      <c r="B473" s="7"/>
      <c r="G473" s="8"/>
    </row>
    <row r="474" customFormat="false" ht="15" hidden="false" customHeight="false" outlineLevel="0" collapsed="false">
      <c r="B474" s="7"/>
      <c r="G474" s="8"/>
    </row>
    <row r="475" customFormat="false" ht="15" hidden="false" customHeight="false" outlineLevel="0" collapsed="false">
      <c r="B475" s="7"/>
      <c r="G475" s="8"/>
    </row>
    <row r="476" customFormat="false" ht="15" hidden="false" customHeight="false" outlineLevel="0" collapsed="false">
      <c r="B476" s="7"/>
      <c r="G476" s="8"/>
    </row>
    <row r="477" customFormat="false" ht="15" hidden="false" customHeight="false" outlineLevel="0" collapsed="false">
      <c r="B477" s="7"/>
      <c r="G477" s="8"/>
    </row>
    <row r="478" customFormat="false" ht="15" hidden="false" customHeight="false" outlineLevel="0" collapsed="false">
      <c r="B478" s="7"/>
      <c r="G478" s="8"/>
    </row>
    <row r="479" customFormat="false" ht="15" hidden="false" customHeight="false" outlineLevel="0" collapsed="false">
      <c r="B479" s="7"/>
      <c r="G479" s="8"/>
    </row>
    <row r="480" customFormat="false" ht="15" hidden="false" customHeight="false" outlineLevel="0" collapsed="false">
      <c r="B480" s="7"/>
      <c r="G480" s="8"/>
    </row>
    <row r="481" customFormat="false" ht="15" hidden="false" customHeight="false" outlineLevel="0" collapsed="false">
      <c r="B481" s="7"/>
      <c r="G481" s="8"/>
    </row>
    <row r="482" customFormat="false" ht="15" hidden="false" customHeight="false" outlineLevel="0" collapsed="false">
      <c r="B482" s="7"/>
      <c r="G482" s="8"/>
    </row>
    <row r="483" customFormat="false" ht="15" hidden="false" customHeight="false" outlineLevel="0" collapsed="false">
      <c r="B483" s="7"/>
      <c r="G483" s="8"/>
    </row>
    <row r="484" customFormat="false" ht="15" hidden="false" customHeight="false" outlineLevel="0" collapsed="false">
      <c r="B484" s="7"/>
      <c r="G484" s="8"/>
    </row>
    <row r="485" customFormat="false" ht="15" hidden="false" customHeight="false" outlineLevel="0" collapsed="false">
      <c r="B485" s="7"/>
      <c r="G485" s="8"/>
    </row>
    <row r="486" customFormat="false" ht="15" hidden="false" customHeight="false" outlineLevel="0" collapsed="false">
      <c r="B486" s="7"/>
      <c r="G486" s="8"/>
    </row>
    <row r="487" customFormat="false" ht="15" hidden="false" customHeight="false" outlineLevel="0" collapsed="false">
      <c r="B487" s="7"/>
      <c r="G487" s="8"/>
    </row>
    <row r="488" customFormat="false" ht="15" hidden="false" customHeight="false" outlineLevel="0" collapsed="false">
      <c r="B488" s="7"/>
      <c r="G488" s="8"/>
    </row>
    <row r="489" customFormat="false" ht="15" hidden="false" customHeight="false" outlineLevel="0" collapsed="false">
      <c r="B489" s="7"/>
      <c r="G489" s="8"/>
    </row>
    <row r="490" customFormat="false" ht="15" hidden="false" customHeight="false" outlineLevel="0" collapsed="false">
      <c r="B490" s="7"/>
      <c r="G490" s="8"/>
    </row>
    <row r="491" customFormat="false" ht="15" hidden="false" customHeight="false" outlineLevel="0" collapsed="false">
      <c r="B491" s="7"/>
      <c r="G491" s="8"/>
    </row>
    <row r="492" customFormat="false" ht="15" hidden="false" customHeight="false" outlineLevel="0" collapsed="false">
      <c r="B492" s="7"/>
      <c r="G492" s="8"/>
    </row>
    <row r="493" customFormat="false" ht="15" hidden="false" customHeight="false" outlineLevel="0" collapsed="false">
      <c r="B493" s="7"/>
      <c r="G493" s="8"/>
    </row>
    <row r="494" customFormat="false" ht="15" hidden="false" customHeight="false" outlineLevel="0" collapsed="false">
      <c r="B494" s="7"/>
      <c r="G494" s="8"/>
    </row>
    <row r="495" customFormat="false" ht="15" hidden="false" customHeight="false" outlineLevel="0" collapsed="false">
      <c r="B495" s="7"/>
      <c r="G495" s="8"/>
    </row>
    <row r="496" customFormat="false" ht="15" hidden="false" customHeight="false" outlineLevel="0" collapsed="false">
      <c r="B496" s="7"/>
      <c r="G496" s="8"/>
    </row>
    <row r="497" customFormat="false" ht="15" hidden="false" customHeight="false" outlineLevel="0" collapsed="false">
      <c r="B497" s="7"/>
      <c r="G497" s="8"/>
    </row>
    <row r="498" customFormat="false" ht="15" hidden="false" customHeight="false" outlineLevel="0" collapsed="false">
      <c r="B498" s="7"/>
      <c r="G498" s="8"/>
    </row>
    <row r="499" customFormat="false" ht="15" hidden="false" customHeight="false" outlineLevel="0" collapsed="false">
      <c r="B499" s="7"/>
      <c r="G499" s="8"/>
    </row>
    <row r="500" customFormat="false" ht="15" hidden="false" customHeight="false" outlineLevel="0" collapsed="false">
      <c r="B500" s="7"/>
      <c r="G500" s="8"/>
    </row>
    <row r="501" customFormat="false" ht="15" hidden="false" customHeight="false" outlineLevel="0" collapsed="false">
      <c r="B501" s="7"/>
      <c r="G501" s="8"/>
    </row>
  </sheetData>
  <dataValidations count="2">
    <dataValidation allowBlank="true" errorStyle="stop" operator="between" showDropDown="false" showErrorMessage="false" showInputMessage="false" sqref="I2:I500" type="list">
      <formula1>"Entregado,Pendiente,Cancelado,No había talla"</formula1>
      <formula2>0</formula2>
    </dataValidation>
    <dataValidation allowBlank="true" errorStyle="stop" operator="between" showDropDown="false" showErrorMessage="false" showInputMessage="false" sqref="H2:H500" type="list">
      <formula1>"WhatsApp,Instagram,Presencial"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" t="s">
        <v>42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customFormat="false" ht="15" hidden="false" customHeight="false" outlineLevel="0" collapsed="false">
      <c r="A2" s="2" t="s">
        <v>49</v>
      </c>
      <c r="B2" s="2" t="n">
        <v>22</v>
      </c>
      <c r="C2" s="2" t="s">
        <v>104</v>
      </c>
      <c r="D2" s="2" t="s">
        <v>50</v>
      </c>
      <c r="E2" s="2" t="s">
        <v>105</v>
      </c>
      <c r="F2" s="2" t="s">
        <v>105</v>
      </c>
      <c r="G2" s="2" t="s">
        <v>106</v>
      </c>
    </row>
    <row r="3" customFormat="false" ht="15" hidden="false" customHeight="false" outlineLevel="0" collapsed="false">
      <c r="A3" s="2" t="s">
        <v>54</v>
      </c>
      <c r="B3" s="2" t="n">
        <v>19</v>
      </c>
      <c r="C3" s="2" t="s">
        <v>104</v>
      </c>
      <c r="D3" s="2" t="s">
        <v>55</v>
      </c>
      <c r="E3" s="2" t="s">
        <v>105</v>
      </c>
      <c r="F3" s="2" t="s">
        <v>105</v>
      </c>
      <c r="G3" s="2" t="s">
        <v>107</v>
      </c>
    </row>
    <row r="4" customFormat="false" ht="15" hidden="false" customHeight="false" outlineLevel="0" collapsed="false">
      <c r="A4" s="2" t="s">
        <v>58</v>
      </c>
      <c r="B4" s="2" t="n">
        <v>28</v>
      </c>
      <c r="C4" s="2" t="s">
        <v>104</v>
      </c>
      <c r="D4" s="2" t="s">
        <v>55</v>
      </c>
      <c r="E4" s="2" t="s">
        <v>105</v>
      </c>
      <c r="F4" s="2" t="s">
        <v>108</v>
      </c>
      <c r="G4" s="2" t="s">
        <v>109</v>
      </c>
    </row>
    <row r="5" customFormat="false" ht="15" hidden="false" customHeight="false" outlineLevel="0" collapsed="false">
      <c r="A5" s="2" t="s">
        <v>61</v>
      </c>
      <c r="B5" s="2" t="n">
        <v>24</v>
      </c>
      <c r="C5" s="2" t="s">
        <v>110</v>
      </c>
      <c r="D5" s="2" t="s">
        <v>50</v>
      </c>
      <c r="E5" s="2" t="s">
        <v>108</v>
      </c>
      <c r="F5" s="2" t="s">
        <v>105</v>
      </c>
      <c r="G5" s="2" t="s">
        <v>106</v>
      </c>
    </row>
    <row r="6" customFormat="false" ht="15" hidden="false" customHeight="false" outlineLevel="0" collapsed="false">
      <c r="A6" s="2" t="s">
        <v>63</v>
      </c>
      <c r="B6" s="2" t="n">
        <v>17</v>
      </c>
      <c r="C6" s="2" t="s">
        <v>104</v>
      </c>
      <c r="D6" s="2" t="s">
        <v>55</v>
      </c>
      <c r="E6" s="2" t="s">
        <v>105</v>
      </c>
      <c r="F6" s="2" t="s">
        <v>105</v>
      </c>
      <c r="G6" s="2" t="s">
        <v>106</v>
      </c>
    </row>
    <row r="7" customFormat="false" ht="15" hidden="false" customHeight="false" outlineLevel="0" collapsed="false">
      <c r="A7" s="2" t="s">
        <v>65</v>
      </c>
      <c r="B7" s="2" t="n">
        <v>36</v>
      </c>
      <c r="C7" s="2" t="s">
        <v>104</v>
      </c>
      <c r="D7" s="2" t="s">
        <v>66</v>
      </c>
      <c r="E7" s="2" t="s">
        <v>105</v>
      </c>
      <c r="F7" s="2" t="s">
        <v>105</v>
      </c>
      <c r="G7" s="2" t="s">
        <v>109</v>
      </c>
    </row>
    <row r="8" customFormat="false" ht="15" hidden="false" customHeight="false" outlineLevel="0" collapsed="false">
      <c r="A8" s="2" t="s">
        <v>68</v>
      </c>
      <c r="B8" s="2" t="n">
        <v>21</v>
      </c>
      <c r="C8" s="2" t="s">
        <v>110</v>
      </c>
      <c r="D8" s="2" t="s">
        <v>50</v>
      </c>
      <c r="E8" s="2" t="s">
        <v>105</v>
      </c>
      <c r="F8" s="2" t="s">
        <v>108</v>
      </c>
      <c r="G8" s="2" t="s">
        <v>111</v>
      </c>
    </row>
    <row r="9" customFormat="false" ht="15" hidden="false" customHeight="false" outlineLevel="0" collapsed="false">
      <c r="A9" s="2" t="s">
        <v>71</v>
      </c>
      <c r="B9" s="2" t="n">
        <v>20</v>
      </c>
      <c r="C9" s="2" t="s">
        <v>104</v>
      </c>
      <c r="D9" s="2" t="s">
        <v>55</v>
      </c>
      <c r="E9" s="2" t="s">
        <v>105</v>
      </c>
      <c r="F9" s="2" t="s">
        <v>105</v>
      </c>
      <c r="G9" s="2" t="s">
        <v>107</v>
      </c>
    </row>
    <row r="10" customFormat="false" ht="15" hidden="false" customHeight="false" outlineLevel="0" collapsed="false">
      <c r="A10" s="2" t="s">
        <v>73</v>
      </c>
      <c r="B10" s="2" t="n">
        <v>31</v>
      </c>
      <c r="C10" s="2" t="s">
        <v>104</v>
      </c>
      <c r="D10" s="2" t="s">
        <v>55</v>
      </c>
      <c r="E10" s="2" t="s">
        <v>105</v>
      </c>
      <c r="F10" s="2" t="s">
        <v>105</v>
      </c>
      <c r="G10" s="2" t="s">
        <v>106</v>
      </c>
    </row>
    <row r="11" customFormat="false" ht="15" hidden="false" customHeight="false" outlineLevel="0" collapsed="false">
      <c r="A11" s="2" t="s">
        <v>75</v>
      </c>
      <c r="B11" s="2" t="n">
        <v>27</v>
      </c>
      <c r="C11" s="2" t="s">
        <v>110</v>
      </c>
      <c r="D11" s="2" t="s">
        <v>50</v>
      </c>
      <c r="E11" s="2" t="s">
        <v>108</v>
      </c>
      <c r="F11" s="2" t="s">
        <v>108</v>
      </c>
      <c r="G11" s="2" t="s">
        <v>106</v>
      </c>
    </row>
    <row r="12" customFormat="false" ht="15" hidden="false" customHeight="false" outlineLevel="0" collapsed="false">
      <c r="A12" s="2" t="s">
        <v>77</v>
      </c>
      <c r="B12" s="2" t="n">
        <v>18</v>
      </c>
      <c r="C12" s="2" t="s">
        <v>104</v>
      </c>
      <c r="D12" s="2" t="s">
        <v>55</v>
      </c>
      <c r="E12" s="2" t="s">
        <v>105</v>
      </c>
      <c r="F12" s="2" t="s">
        <v>105</v>
      </c>
      <c r="G12" s="2" t="s">
        <v>107</v>
      </c>
    </row>
    <row r="13" customFormat="false" ht="15" hidden="false" customHeight="false" outlineLevel="0" collapsed="false">
      <c r="A13" s="2" t="s">
        <v>79</v>
      </c>
      <c r="B13" s="2" t="n">
        <v>41</v>
      </c>
      <c r="C13" s="2" t="s">
        <v>104</v>
      </c>
      <c r="D13" s="2" t="s">
        <v>66</v>
      </c>
      <c r="E13" s="2" t="s">
        <v>105</v>
      </c>
      <c r="F13" s="2" t="s">
        <v>105</v>
      </c>
      <c r="G13" s="2" t="s">
        <v>109</v>
      </c>
    </row>
    <row r="14" customFormat="false" ht="15" hidden="false" customHeight="false" outlineLevel="0" collapsed="false">
      <c r="A14" s="2" t="s">
        <v>81</v>
      </c>
      <c r="B14" s="2" t="n">
        <v>23</v>
      </c>
      <c r="C14" s="2" t="s">
        <v>110</v>
      </c>
      <c r="D14" s="2" t="s">
        <v>50</v>
      </c>
      <c r="E14" s="2" t="s">
        <v>105</v>
      </c>
      <c r="F14" s="2" t="s">
        <v>105</v>
      </c>
      <c r="G14" s="2" t="s">
        <v>106</v>
      </c>
    </row>
    <row r="15" customFormat="false" ht="15" hidden="false" customHeight="false" outlineLevel="0" collapsed="false">
      <c r="A15" s="2" t="s">
        <v>83</v>
      </c>
      <c r="B15" s="2" t="n">
        <v>25</v>
      </c>
      <c r="C15" s="2" t="s">
        <v>104</v>
      </c>
      <c r="D15" s="2" t="s">
        <v>55</v>
      </c>
      <c r="E15" s="2" t="s">
        <v>105</v>
      </c>
      <c r="F15" s="2" t="s">
        <v>105</v>
      </c>
      <c r="G15" s="2" t="s">
        <v>106</v>
      </c>
    </row>
    <row r="16" customFormat="false" ht="15" hidden="false" customHeight="false" outlineLevel="0" collapsed="false">
      <c r="A16" s="2" t="s">
        <v>85</v>
      </c>
      <c r="B16" s="2" t="n">
        <v>16</v>
      </c>
      <c r="C16" s="2" t="s">
        <v>104</v>
      </c>
      <c r="D16" s="2" t="s">
        <v>50</v>
      </c>
      <c r="E16" s="2" t="s">
        <v>105</v>
      </c>
      <c r="F16" s="2" t="s">
        <v>105</v>
      </c>
      <c r="G16" s="2" t="s">
        <v>106</v>
      </c>
    </row>
    <row r="17" customFormat="false" ht="15" hidden="false" customHeight="false" outlineLevel="0" collapsed="false">
      <c r="A17" s="2" t="s">
        <v>87</v>
      </c>
      <c r="B17" s="2" t="n">
        <v>40</v>
      </c>
      <c r="C17" s="2" t="s">
        <v>104</v>
      </c>
      <c r="D17" s="2" t="s">
        <v>66</v>
      </c>
      <c r="E17" s="2" t="s">
        <v>105</v>
      </c>
      <c r="F17" s="2" t="s">
        <v>105</v>
      </c>
      <c r="G17" s="2" t="s">
        <v>112</v>
      </c>
    </row>
  </sheetData>
  <dataValidations count="1">
    <dataValidation allowBlank="true" errorStyle="stop" operator="between" showDropDown="false" showErrorMessage="false" showInputMessage="false" sqref="E2:F2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</cols>
  <sheetData>
    <row r="1" customFormat="false" ht="31.5" hidden="false" customHeight="true" outlineLevel="0" collapsed="false">
      <c r="A1" s="1" t="s">
        <v>42</v>
      </c>
      <c r="B1" s="1" t="s">
        <v>113</v>
      </c>
      <c r="C1" s="1" t="s">
        <v>114</v>
      </c>
    </row>
    <row r="2" customFormat="false" ht="15" hidden="false" customHeight="false" outlineLevel="0" collapsed="false">
      <c r="A2" s="2" t="s">
        <v>49</v>
      </c>
      <c r="B2" s="2" t="s">
        <v>115</v>
      </c>
      <c r="C2" s="2"/>
    </row>
    <row r="3" customFormat="false" ht="15" hidden="false" customHeight="false" outlineLevel="0" collapsed="false">
      <c r="A3" s="2" t="s">
        <v>54</v>
      </c>
      <c r="B3" s="2" t="s">
        <v>116</v>
      </c>
      <c r="C3" s="2"/>
    </row>
    <row r="4" customFormat="false" ht="15" hidden="false" customHeight="false" outlineLevel="0" collapsed="false">
      <c r="A4" s="2" t="s">
        <v>58</v>
      </c>
      <c r="B4" s="2" t="s">
        <v>117</v>
      </c>
      <c r="C4" s="2"/>
    </row>
    <row r="5" customFormat="false" ht="15" hidden="false" customHeight="false" outlineLevel="0" collapsed="false">
      <c r="A5" s="2" t="s">
        <v>61</v>
      </c>
      <c r="B5" s="2" t="s">
        <v>118</v>
      </c>
      <c r="C5" s="2"/>
    </row>
    <row r="6" customFormat="false" ht="15" hidden="false" customHeight="false" outlineLevel="0" collapsed="false">
      <c r="A6" s="2" t="s">
        <v>63</v>
      </c>
      <c r="B6" s="2" t="s">
        <v>119</v>
      </c>
      <c r="C6" s="2"/>
    </row>
    <row r="7" customFormat="false" ht="15" hidden="false" customHeight="false" outlineLevel="0" collapsed="false">
      <c r="A7" s="2" t="s">
        <v>65</v>
      </c>
      <c r="B7" s="2" t="s">
        <v>120</v>
      </c>
      <c r="C7" s="2"/>
    </row>
    <row r="8" customFormat="false" ht="15" hidden="false" customHeight="false" outlineLevel="0" collapsed="false">
      <c r="A8" s="2" t="s">
        <v>68</v>
      </c>
      <c r="B8" s="2" t="s">
        <v>121</v>
      </c>
      <c r="C8" s="2"/>
    </row>
    <row r="9" customFormat="false" ht="15" hidden="false" customHeight="false" outlineLevel="0" collapsed="false">
      <c r="A9" s="2" t="s">
        <v>71</v>
      </c>
      <c r="B9" s="2" t="s">
        <v>122</v>
      </c>
      <c r="C9" s="2"/>
    </row>
    <row r="10" customFormat="false" ht="15" hidden="false" customHeight="false" outlineLevel="0" collapsed="false">
      <c r="A10" s="2" t="s">
        <v>73</v>
      </c>
      <c r="B10" s="2" t="s">
        <v>123</v>
      </c>
      <c r="C10" s="2"/>
    </row>
    <row r="11" customFormat="false" ht="15" hidden="false" customHeight="false" outlineLevel="0" collapsed="false">
      <c r="A11" s="2" t="s">
        <v>75</v>
      </c>
      <c r="B11" s="2" t="s">
        <v>124</v>
      </c>
      <c r="C11" s="2"/>
    </row>
    <row r="12" customFormat="false" ht="15" hidden="false" customHeight="false" outlineLevel="0" collapsed="false">
      <c r="A12" s="2" t="s">
        <v>77</v>
      </c>
      <c r="B12" s="2" t="s">
        <v>125</v>
      </c>
      <c r="C12" s="2"/>
    </row>
    <row r="13" customFormat="false" ht="15" hidden="false" customHeight="false" outlineLevel="0" collapsed="false">
      <c r="A13" s="2" t="s">
        <v>79</v>
      </c>
      <c r="B13" s="2" t="s">
        <v>126</v>
      </c>
      <c r="C13" s="2"/>
    </row>
    <row r="14" customFormat="false" ht="15" hidden="false" customHeight="false" outlineLevel="0" collapsed="false">
      <c r="A14" s="2" t="s">
        <v>81</v>
      </c>
      <c r="B14" s="2" t="s">
        <v>127</v>
      </c>
      <c r="C14" s="2"/>
    </row>
    <row r="15" customFormat="false" ht="15" hidden="false" customHeight="false" outlineLevel="0" collapsed="false">
      <c r="A15" s="2" t="s">
        <v>83</v>
      </c>
      <c r="B15" s="2" t="s">
        <v>128</v>
      </c>
      <c r="C15" s="2"/>
    </row>
    <row r="16" customFormat="false" ht="15" hidden="false" customHeight="false" outlineLevel="0" collapsed="false">
      <c r="A16" s="2" t="s">
        <v>85</v>
      </c>
      <c r="B16" s="2" t="s">
        <v>129</v>
      </c>
      <c r="C16" s="2"/>
    </row>
    <row r="17" customFormat="false" ht="15" hidden="false" customHeight="false" outlineLevel="0" collapsed="false">
      <c r="A17" s="2" t="s">
        <v>87</v>
      </c>
      <c r="B17" s="2" t="s">
        <v>130</v>
      </c>
      <c r="C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9" t="s">
        <v>131</v>
      </c>
    </row>
    <row r="2" customFormat="false" ht="15" hidden="false" customHeight="false" outlineLevel="0" collapsed="false">
      <c r="A2" s="10" t="s">
        <v>132</v>
      </c>
    </row>
    <row r="3" customFormat="false" ht="15" hidden="false" customHeight="false" outlineLevel="0" collapsed="false">
      <c r="A3" s="10"/>
    </row>
    <row r="4" customFormat="false" ht="15" hidden="false" customHeight="false" outlineLevel="0" collapsed="false">
      <c r="A4" s="11" t="s">
        <v>133</v>
      </c>
    </row>
    <row r="5" customFormat="false" ht="15" hidden="false" customHeight="false" outlineLevel="0" collapsed="false">
      <c r="A5" s="10" t="s">
        <v>134</v>
      </c>
    </row>
    <row r="6" customFormat="false" ht="15" hidden="false" customHeight="false" outlineLevel="0" collapsed="false">
      <c r="A6" s="10" t="s">
        <v>135</v>
      </c>
    </row>
    <row r="7" customFormat="false" ht="15" hidden="false" customHeight="false" outlineLevel="0" collapsed="false">
      <c r="A7" s="10" t="s">
        <v>136</v>
      </c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11" t="s">
        <v>137</v>
      </c>
    </row>
    <row r="10" customFormat="false" ht="15" hidden="false" customHeight="false" outlineLevel="0" collapsed="false">
      <c r="A10" s="10" t="s">
        <v>138</v>
      </c>
    </row>
    <row r="11" customFormat="false" ht="15" hidden="false" customHeight="false" outlineLevel="0" collapsed="false">
      <c r="A11" s="10" t="s">
        <v>139</v>
      </c>
    </row>
    <row r="12" customFormat="false" ht="15" hidden="false" customHeight="false" outlineLevel="0" collapsed="false">
      <c r="A12" s="10" t="s">
        <v>140</v>
      </c>
    </row>
    <row r="13" customFormat="false" ht="15" hidden="false" customHeight="false" outlineLevel="0" collapsed="false">
      <c r="A13" s="10" t="s">
        <v>141</v>
      </c>
    </row>
    <row r="14" customFormat="false" ht="15" hidden="false" customHeight="false" outlineLevel="0" collapsed="false">
      <c r="A14" s="10" t="s">
        <v>142</v>
      </c>
    </row>
    <row r="15" customFormat="false" ht="15" hidden="false" customHeight="false" outlineLevel="0" collapsed="false">
      <c r="A15" s="10"/>
    </row>
    <row r="16" customFormat="false" ht="15" hidden="false" customHeight="false" outlineLevel="0" collapsed="false">
      <c r="A16" s="11" t="s">
        <v>143</v>
      </c>
    </row>
    <row r="17" customFormat="false" ht="15" hidden="false" customHeight="false" outlineLevel="0" collapsed="false">
      <c r="A17" s="10" t="s">
        <v>144</v>
      </c>
    </row>
    <row r="18" customFormat="false" ht="15" hidden="false" customHeight="false" outlineLevel="0" collapsed="false">
      <c r="A18" s="10" t="s">
        <v>145</v>
      </c>
    </row>
    <row r="19" customFormat="false" ht="15" hidden="false" customHeight="false" outlineLevel="0" collapsed="false">
      <c r="A19" s="10" t="s">
        <v>146</v>
      </c>
    </row>
    <row r="20" customFormat="false" ht="15" hidden="false" customHeight="false" outlineLevel="0" collapsed="false">
      <c r="A20" s="10" t="s">
        <v>147</v>
      </c>
    </row>
    <row r="21" customFormat="false" ht="15" hidden="false" customHeight="false" outlineLevel="0" collapsed="false">
      <c r="A21" s="10" t="s">
        <v>148</v>
      </c>
    </row>
    <row r="22" customFormat="false" ht="26.85" hidden="false" customHeight="false" outlineLevel="0" collapsed="false">
      <c r="A22" s="10" t="s">
        <v>149</v>
      </c>
    </row>
    <row r="23" customFormat="false" ht="15" hidden="false" customHeight="false" outlineLevel="0" collapsed="false">
      <c r="A23" s="10"/>
    </row>
    <row r="24" customFormat="false" ht="15" hidden="false" customHeight="false" outlineLevel="0" collapsed="false">
      <c r="A24" s="11" t="s">
        <v>150</v>
      </c>
    </row>
    <row r="25" customFormat="false" ht="26.85" hidden="false" customHeight="false" outlineLevel="0" collapsed="false">
      <c r="A25" s="10" t="s">
        <v>151</v>
      </c>
    </row>
    <row r="26" customFormat="false" ht="26.85" hidden="false" customHeight="false" outlineLevel="0" collapsed="false">
      <c r="A26" s="1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2026-10-18T05:50:10Z</dcterms:created>
  <dc:creator>openpyxl</dc:creator>
  <dc:description/>
  <dc:language>en-US</dc:language>
  <cp:lastModifiedBy/>
  <dcterms:modified xsi:type="dcterms:W3CDTF">2026-10-18T05:50:10Z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